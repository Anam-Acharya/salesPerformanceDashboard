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530"/>
  </bookViews>
  <sheets>
    <sheet name="Project Overview" sheetId="4" r:id="rId1"/>
    <sheet name="Dashboard" sheetId="1" r:id="rId2"/>
    <sheet name="User Data" sheetId="2" r:id="rId3"/>
    <sheet name="Functional Sheet" sheetId="3" state="hidden" r:id="rId4"/>
  </sheets>
  <definedNames>
    <definedName name="_xlcn.WorksheetConnection_SalesPerformanceDashboard.xlsxTable11" hidden="1">Table1[]</definedName>
  </definedNames>
  <calcPr calcId="162913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ales Performance Dashboard.xlsx!Table1"/>
        </x15:modelTables>
      </x15:dataModel>
    </ext>
  </extLst>
</workbook>
</file>

<file path=xl/calcChain.xml><?xml version="1.0" encoding="utf-8"?>
<calcChain xmlns="http://schemas.openxmlformats.org/spreadsheetml/2006/main">
  <c r="H18" i="1" l="1"/>
  <c r="J18" i="1"/>
  <c r="L18" i="1"/>
  <c r="H24" i="1"/>
  <c r="H21" i="1"/>
  <c r="K3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L24" i="1"/>
  <c r="J24" i="1"/>
  <c r="L21" i="1"/>
  <c r="J21" i="1"/>
  <c r="B5" i="3" l="1"/>
  <c r="H3" i="1" s="1"/>
  <c r="B4" i="3"/>
  <c r="E3" i="1" s="1"/>
  <c r="B3" i="3"/>
  <c r="B3" i="1" s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ales Performance Dashboard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PerformanceDashboard.xlsxTable11"/>
        </x15:connection>
      </ext>
    </extLst>
  </connection>
</connections>
</file>

<file path=xl/sharedStrings.xml><?xml version="1.0" encoding="utf-8"?>
<sst xmlns="http://schemas.openxmlformats.org/spreadsheetml/2006/main" count="250" uniqueCount="76">
  <si>
    <t>Date</t>
  </si>
  <si>
    <t>Region</t>
  </si>
  <si>
    <t>Salesperson</t>
  </si>
  <si>
    <t>Product</t>
  </si>
  <si>
    <t>Units Sold</t>
  </si>
  <si>
    <t>Unit Price</t>
  </si>
  <si>
    <t>Total Sales</t>
  </si>
  <si>
    <t>Cost per Unit</t>
  </si>
  <si>
    <t>Profit</t>
  </si>
  <si>
    <t>South</t>
  </si>
  <si>
    <t>Arjun</t>
  </si>
  <si>
    <t>Tablet</t>
  </si>
  <si>
    <t>East</t>
  </si>
  <si>
    <t>Maya</t>
  </si>
  <si>
    <t>Phone</t>
  </si>
  <si>
    <t>Puja</t>
  </si>
  <si>
    <t>Headphones</t>
  </si>
  <si>
    <t>North</t>
  </si>
  <si>
    <t>Sita</t>
  </si>
  <si>
    <t>West</t>
  </si>
  <si>
    <t>Kiran</t>
  </si>
  <si>
    <t>Smartwatch</t>
  </si>
  <si>
    <t>Anish</t>
  </si>
  <si>
    <t>Laptop</t>
  </si>
  <si>
    <t>Nisha</t>
  </si>
  <si>
    <t>Ravi</t>
  </si>
  <si>
    <t xml:space="preserve">Title </t>
  </si>
  <si>
    <t>Grand Total</t>
  </si>
  <si>
    <t>Sales Person</t>
  </si>
  <si>
    <t>Total Sells</t>
  </si>
  <si>
    <t>TOP SALES PERSON</t>
  </si>
  <si>
    <t>Sum of Profit</t>
  </si>
  <si>
    <t>Total Value</t>
  </si>
  <si>
    <t>Sales</t>
  </si>
  <si>
    <t>CALCULATIONS</t>
  </si>
  <si>
    <t>RESION-WISE PROFIT</t>
  </si>
  <si>
    <t>PRODUCT-WISE SALES</t>
  </si>
  <si>
    <t>Resion</t>
  </si>
  <si>
    <t>Products</t>
  </si>
  <si>
    <t>Monthly Sales Trend</t>
  </si>
  <si>
    <t>Month-Year</t>
  </si>
  <si>
    <t>Sum of Total Sales</t>
  </si>
  <si>
    <t>Jan</t>
  </si>
  <si>
    <t>Feb</t>
  </si>
  <si>
    <t>Mar</t>
  </si>
  <si>
    <t>Apr</t>
  </si>
  <si>
    <t>May</t>
  </si>
  <si>
    <t>Jun</t>
  </si>
  <si>
    <t>Month</t>
  </si>
  <si>
    <t>Sales Performance Dashboard</t>
  </si>
  <si>
    <t>Total Profit</t>
  </si>
  <si>
    <t>Total Unit Sold</t>
  </si>
  <si>
    <t>Top Sales Person</t>
  </si>
  <si>
    <t>Salesperson Summary</t>
  </si>
  <si>
    <t>SALESPERSON SUMMARY</t>
  </si>
  <si>
    <t>Project Overview</t>
  </si>
  <si>
    <t>Project Title</t>
  </si>
  <si>
    <t>Description</t>
  </si>
  <si>
    <t>S.N</t>
  </si>
  <si>
    <t>Key Excel Features Used</t>
  </si>
  <si>
    <t>Insights Generated</t>
  </si>
  <si>
    <t xml:space="preserve">Built a dynamic Sales Performance Dashboard using Microsoft Excel  </t>
  </si>
  <si>
    <t xml:space="preserve">Transformed raw sales data into insights using pivot tables, charts, and KPI cards  </t>
  </si>
  <si>
    <t xml:space="preserve">Tracked key metrics: sales, profit, units sold, trends, and individual contributions  </t>
  </si>
  <si>
    <t xml:space="preserve">Delivered clear visibility into product and salesperson performance  </t>
  </si>
  <si>
    <t xml:space="preserve"> Pivot Tables for summarizing sales, profit, region, product, and salesperson performance  </t>
  </si>
  <si>
    <t xml:space="preserve">Pivot Charts (line, bar, pie) for visual storytelling  </t>
  </si>
  <si>
    <t xml:space="preserve">SUM and basic formulas for KPI calculations  </t>
  </si>
  <si>
    <t xml:space="preserve">Cell referencing to link pivot outputs with dashboard KPIs  </t>
  </si>
  <si>
    <t xml:space="preserve">Tablets and Laptops emerged as top-selling products  </t>
  </si>
  <si>
    <t xml:space="preserve">February recorded the highest sales; January and June the lowest  </t>
  </si>
  <si>
    <t xml:space="preserve">North region led in profit contribution  </t>
  </si>
  <si>
    <t xml:space="preserve">Arjun ranked top in both sales and profit  </t>
  </si>
  <si>
    <t>Dashboard enabled quick assessment of overall business performance.</t>
  </si>
  <si>
    <t>Structured sheets: Data Sheet, Functional Sheet, Dashboard Sheet.</t>
  </si>
  <si>
    <t>Demonstrated effective data-to-dashboard transformation for business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</si>
</sst>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Verdana"/>
      <family val="2"/>
    </font>
    <font>
      <b/>
      <sz val="16"/>
      <color theme="1" tint="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2" borderId="6" xfId="0" applyNumberFormat="1" applyFill="1" applyBorder="1"/>
    <xf numFmtId="0" fontId="0" fillId="3" borderId="3" xfId="0" applyFill="1" applyBorder="1" applyAlignment="1">
      <alignment horizontal="left"/>
    </xf>
    <xf numFmtId="0" fontId="0" fillId="3" borderId="4" xfId="0" applyNumberForma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right" vertical="center"/>
    </xf>
    <xf numFmtId="14" fontId="0" fillId="0" borderId="0" xfId="0" applyNumberFormat="1" applyBorder="1"/>
    <xf numFmtId="0" fontId="0" fillId="3" borderId="3" xfId="0" applyFont="1" applyFill="1" applyBorder="1" applyAlignment="1">
      <alignment horizontal="left"/>
    </xf>
    <xf numFmtId="0" fontId="0" fillId="3" borderId="4" xfId="0" applyNumberFormat="1" applyFont="1" applyFill="1" applyBorder="1"/>
    <xf numFmtId="0" fontId="0" fillId="0" borderId="0" xfId="0" applyAlignment="1">
      <alignment horizontal="center" vertical="center"/>
    </xf>
    <xf numFmtId="0" fontId="0" fillId="3" borderId="1" xfId="0" applyNumberFormat="1" applyFill="1" applyBorder="1"/>
    <xf numFmtId="0" fontId="0" fillId="3" borderId="2" xfId="0" applyNumberFormat="1" applyFill="1" applyBorder="1"/>
    <xf numFmtId="0" fontId="0" fillId="3" borderId="3" xfId="0" applyNumberFormat="1" applyFill="1" applyBorder="1"/>
    <xf numFmtId="0" fontId="0" fillId="2" borderId="5" xfId="0" applyNumberFormat="1" applyFill="1" applyBorder="1"/>
    <xf numFmtId="0" fontId="0" fillId="3" borderId="11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8" xfId="0" applyNumberFormat="1" applyFill="1" applyBorder="1"/>
    <xf numFmtId="0" fontId="0" fillId="3" borderId="11" xfId="0" applyNumberFormat="1" applyFill="1" applyBorder="1"/>
    <xf numFmtId="0" fontId="0" fillId="3" borderId="9" xfId="0" applyNumberFormat="1" applyFill="1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9" borderId="1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4" fillId="9" borderId="3" xfId="0" applyFont="1" applyFill="1" applyBorder="1"/>
    <xf numFmtId="0" fontId="4" fillId="9" borderId="0" xfId="0" applyFont="1" applyFill="1" applyBorder="1"/>
    <xf numFmtId="0" fontId="0" fillId="9" borderId="4" xfId="0" applyFill="1" applyBorder="1" applyAlignment="1">
      <alignment wrapText="1"/>
    </xf>
    <xf numFmtId="0" fontId="0" fillId="9" borderId="3" xfId="0" applyFill="1" applyBorder="1"/>
    <xf numFmtId="0" fontId="0" fillId="9" borderId="0" xfId="0" applyFill="1" applyBorder="1"/>
    <xf numFmtId="0" fontId="0" fillId="9" borderId="5" xfId="0" applyFill="1" applyBorder="1"/>
    <xf numFmtId="0" fontId="0" fillId="9" borderId="14" xfId="0" applyFill="1" applyBorder="1"/>
    <xf numFmtId="0" fontId="0" fillId="9" borderId="6" xfId="0" applyFill="1" applyBorder="1" applyAlignment="1">
      <alignment wrapText="1"/>
    </xf>
    <xf numFmtId="0" fontId="0" fillId="5" borderId="3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08">
    <dxf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79998168889431442"/>
        </patternFill>
      </fill>
    </dxf>
    <dxf>
      <font>
        <color theme="1"/>
      </font>
    </dxf>
    <dxf>
      <font>
        <color rgb="FFFF0000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numFmt numFmtId="19" formatCode="m/d/yyyy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AFAFA"/>
      <color rgb="FFFFFFFF"/>
      <color rgb="FFE1E1FF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Dashboard.xlsx]Functional Sheet!PivotTable2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-wise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Sheet'!$E$10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'Functional Sheet'!$D$11:$D$16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'Functional Sheet'!$E$11:$E$16</c:f>
              <c:numCache>
                <c:formatCode>General</c:formatCode>
                <c:ptCount val="5"/>
                <c:pt idx="0">
                  <c:v>4440</c:v>
                </c:pt>
                <c:pt idx="1">
                  <c:v>34300</c:v>
                </c:pt>
                <c:pt idx="2">
                  <c:v>24800</c:v>
                </c:pt>
                <c:pt idx="3">
                  <c:v>15500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9-4A87-B05A-4FEE3CA2F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767839"/>
        <c:axId val="125768255"/>
      </c:barChart>
      <c:catAx>
        <c:axId val="1257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8255"/>
        <c:crosses val="autoZero"/>
        <c:auto val="1"/>
        <c:lblAlgn val="ctr"/>
        <c:lblOffset val="100"/>
        <c:noMultiLvlLbl val="0"/>
      </c:catAx>
      <c:valAx>
        <c:axId val="1257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 Performance Dashboard.xlsx]Functional Sheet!PivotTable1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</a:t>
            </a:r>
            <a:r>
              <a:rPr lang="en-US" baseline="0"/>
              <a:t>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'Functional Sheet'!$E$2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35-40B7-AFF2-BB4934766E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35-40B7-AFF2-BB4934766E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35-40B7-AFF2-BB4934766E4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35-40B7-AFF2-BB4934766E48}"/>
              </c:ext>
            </c:extLst>
          </c:dPt>
          <c:dLbls>
            <c:delete val="1"/>
          </c:dLbls>
          <c:cat>
            <c:strRef>
              <c:f>'Functional Sheet'!$D$3:$D$7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'Functional Sheet'!$E$3:$E$7</c:f>
              <c:numCache>
                <c:formatCode>General</c:formatCode>
                <c:ptCount val="4"/>
                <c:pt idx="0">
                  <c:v>8120</c:v>
                </c:pt>
                <c:pt idx="1">
                  <c:v>10560</c:v>
                </c:pt>
                <c:pt idx="2">
                  <c:v>5470</c:v>
                </c:pt>
                <c:pt idx="3">
                  <c:v>7220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35-40B7-AFF2-BB4934766E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Dashboard.xlsx]Functional Sheet!PivotTable10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857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'Functional Sheet'!$H$2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285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'Functional Sheet'!$G$3:$G$9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'Functional Sheet'!$H$3:$H$9</c:f>
              <c:numCache>
                <c:formatCode>General</c:formatCode>
                <c:ptCount val="6"/>
                <c:pt idx="0">
                  <c:v>14320</c:v>
                </c:pt>
                <c:pt idx="1">
                  <c:v>37380</c:v>
                </c:pt>
                <c:pt idx="2">
                  <c:v>24140</c:v>
                </c:pt>
                <c:pt idx="3">
                  <c:v>14700</c:v>
                </c:pt>
                <c:pt idx="4">
                  <c:v>18200</c:v>
                </c:pt>
                <c:pt idx="5">
                  <c:v>10300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6-4CA2-9F76-A8E8D25F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347279"/>
        <c:axId val="719348111"/>
      </c:lineChart>
      <c:catAx>
        <c:axId val="7193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48111"/>
        <c:crosses val="autoZero"/>
        <c:auto val="1"/>
        <c:lblAlgn val="ctr"/>
        <c:lblOffset val="100"/>
        <c:noMultiLvlLbl val="0"/>
      </c:catAx>
      <c:valAx>
        <c:axId val="7193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</xdr:row>
      <xdr:rowOff>9525</xdr:rowOff>
    </xdr:from>
    <xdr:to>
      <xdr:col>6</xdr:col>
      <xdr:colOff>247650</xdr:colOff>
      <xdr:row>14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400048</xdr:colOff>
      <xdr:row>4</xdr:row>
      <xdr:rowOff>9526</xdr:rowOff>
    </xdr:from>
    <xdr:to>
      <xdr:col>12</xdr:col>
      <xdr:colOff>561974</xdr:colOff>
      <xdr:row>14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15</xdr:row>
      <xdr:rowOff>9524</xdr:rowOff>
    </xdr:from>
    <xdr:to>
      <xdr:col>6</xdr:col>
      <xdr:colOff>247650</xdr:colOff>
      <xdr:row>24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m Acharya" refreshedDate="45974.600106944446" createdVersion="6" refreshedVersion="6" minRefreshableVersion="3" recordCount="50">
  <cacheSource type="worksheet">
    <worksheetSource name="Table1"/>
  </cacheSource>
  <cacheFields count="9">
    <cacheField name="Date" numFmtId="0">
      <sharedItems count="44">
        <s v="2025-03-11"/>
        <s v="2025-06-05"/>
        <s v="2025-02-17"/>
        <s v="2025-02-01"/>
        <s v="2025-03-05"/>
        <s v="2025-05-09"/>
        <s v="2025-03-15"/>
        <s v="2025-05-21"/>
        <s v="2025-02-09"/>
        <s v="2025-02-22"/>
        <s v="2025-06-03"/>
        <s v="2025-02-03"/>
        <s v="2025-03-28"/>
        <s v="2025-05-28"/>
        <s v="2025-02-21"/>
        <s v="2025-01-06"/>
        <s v="2025-04-11"/>
        <s v="2025-06-27"/>
        <s v="2025-01-14"/>
        <s v="2025-04-01"/>
        <s v="2025-04-07"/>
        <s v="2025-04-27"/>
        <s v="2025-05-01"/>
        <s v="2025-05-26"/>
        <s v="2025-04-19"/>
        <s v="2025-03-07"/>
        <s v="2025-05-15"/>
        <s v="2025-02-15"/>
        <s v="2025-01-18"/>
        <s v="2025-02-23"/>
        <s v="2025-03-20"/>
        <s v="2025-01-24"/>
        <s v="2025-03-25"/>
        <s v="2025-03-01"/>
        <s v="2025-02-14"/>
        <s v="2025-01-13"/>
        <s v="2025-01-26"/>
        <s v="2025-03-04"/>
        <s v="2025-03-23"/>
        <s v="2025-03-16"/>
        <s v="2025-01-29"/>
        <s v="2025-06-15"/>
        <s v="2025-02-18"/>
        <s v="2025-05-18"/>
      </sharedItems>
    </cacheField>
    <cacheField name="Region" numFmtId="0">
      <sharedItems count="4">
        <s v="South"/>
        <s v="East"/>
        <s v="North"/>
        <s v="West"/>
      </sharedItems>
    </cacheField>
    <cacheField name="Salesperson" numFmtId="0">
      <sharedItems count="8">
        <s v="Arjun"/>
        <s v="Maya"/>
        <s v="Puja"/>
        <s v="Sita"/>
        <s v="Kiran"/>
        <s v="Anish"/>
        <s v="Nisha"/>
        <s v="Ravi"/>
      </sharedItems>
    </cacheField>
    <cacheField name="Product" numFmtId="0">
      <sharedItems count="5">
        <s v="Tablet"/>
        <s v="Phone"/>
        <s v="Headphones"/>
        <s v="Smartwatch"/>
        <s v="Laptop"/>
      </sharedItems>
    </cacheField>
    <cacheField name="Units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120" maxValue="700"/>
    </cacheField>
    <cacheField name="Total Sales" numFmtId="0">
      <sharedItems containsSemiMixedTypes="0" containsString="0" containsNumber="1" containsInteger="1" minValue="250" maxValue="5600"/>
    </cacheField>
    <cacheField name="Cost per Unit" numFmtId="0">
      <sharedItems containsSemiMixedTypes="0" containsString="0" containsNumber="1" containsInteger="1" minValue="80" maxValue="550"/>
    </cacheField>
    <cacheField name="Profit" numFmtId="0">
      <sharedItems containsSemiMixedTypes="0" containsString="0" containsNumber="1" containsInteger="1" minValue="7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nam Acharya" refreshedDate="45974.896669907408" backgroundQuery="1" createdVersion="6" refreshedVersion="6" minRefreshableVersion="3" recordCount="0" supportSubquery="1" supportAdvancedDrill="1">
  <cacheSource type="external" connectionId="1"/>
  <cacheFields count="2">
    <cacheField name="[Table1].[Month-Year].[Month-Year]" caption="Month-Year" numFmtId="0" hierarchy="1" level="1">
      <sharedItems count="6">
        <s v="Apr"/>
        <s v="Feb"/>
        <s v="Jan"/>
        <s v="Jun"/>
        <s v="Mar"/>
        <s v="May"/>
      </sharedItems>
    </cacheField>
    <cacheField name="[Measures].[Sum of Total Sales]" caption="Sum of Total Sales" numFmtId="0" hierarchy="12" level="32767"/>
  </cacheFields>
  <cacheHierarchies count="1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-Year]" caption="Month-Year" attribute="1" defaultMemberUniqueName="[Table1].[Month-Year].[All]" allUniqueName="[Table1].[Month-Yea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20" unbalanced="0"/>
    <cacheHierarchy uniqueName="[Table1].[Cost per Unit]" caption="Cost per Unit" attribute="1" defaultMemberUniqueName="[Table1].[Cost per Unit].[All]" allUniqueName="[Table1].[Cost per Uni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n v="5"/>
    <n v="500"/>
    <n v="2500"/>
    <n v="350"/>
    <n v="750"/>
  </r>
  <r>
    <x v="1"/>
    <x v="1"/>
    <x v="1"/>
    <x v="0"/>
    <n v="1"/>
    <n v="500"/>
    <n v="500"/>
    <n v="350"/>
    <n v="150"/>
  </r>
  <r>
    <x v="2"/>
    <x v="0"/>
    <x v="0"/>
    <x v="1"/>
    <n v="2"/>
    <n v="400"/>
    <n v="800"/>
    <n v="300"/>
    <n v="200"/>
  </r>
  <r>
    <x v="3"/>
    <x v="1"/>
    <x v="2"/>
    <x v="2"/>
    <n v="9"/>
    <n v="120"/>
    <n v="1080"/>
    <n v="80"/>
    <n v="360"/>
  </r>
  <r>
    <x v="4"/>
    <x v="2"/>
    <x v="3"/>
    <x v="2"/>
    <n v="7"/>
    <n v="120"/>
    <n v="840"/>
    <n v="80"/>
    <n v="280"/>
  </r>
  <r>
    <x v="5"/>
    <x v="3"/>
    <x v="4"/>
    <x v="1"/>
    <n v="7"/>
    <n v="400"/>
    <n v="2800"/>
    <n v="300"/>
    <n v="700"/>
  </r>
  <r>
    <x v="6"/>
    <x v="0"/>
    <x v="3"/>
    <x v="3"/>
    <n v="1"/>
    <n v="250"/>
    <n v="250"/>
    <n v="180"/>
    <n v="70"/>
  </r>
  <r>
    <x v="7"/>
    <x v="2"/>
    <x v="2"/>
    <x v="1"/>
    <n v="3"/>
    <n v="400"/>
    <n v="1200"/>
    <n v="300"/>
    <n v="300"/>
  </r>
  <r>
    <x v="8"/>
    <x v="2"/>
    <x v="5"/>
    <x v="4"/>
    <n v="8"/>
    <n v="700"/>
    <n v="5600"/>
    <n v="550"/>
    <n v="1200"/>
  </r>
  <r>
    <x v="9"/>
    <x v="0"/>
    <x v="6"/>
    <x v="0"/>
    <n v="10"/>
    <n v="500"/>
    <n v="5000"/>
    <n v="350"/>
    <n v="1500"/>
  </r>
  <r>
    <x v="10"/>
    <x v="3"/>
    <x v="2"/>
    <x v="1"/>
    <n v="4"/>
    <n v="400"/>
    <n v="1600"/>
    <n v="300"/>
    <n v="400"/>
  </r>
  <r>
    <x v="11"/>
    <x v="2"/>
    <x v="3"/>
    <x v="0"/>
    <n v="1"/>
    <n v="500"/>
    <n v="500"/>
    <n v="350"/>
    <n v="150"/>
  </r>
  <r>
    <x v="12"/>
    <x v="2"/>
    <x v="3"/>
    <x v="1"/>
    <n v="6"/>
    <n v="400"/>
    <n v="2400"/>
    <n v="300"/>
    <n v="600"/>
  </r>
  <r>
    <x v="13"/>
    <x v="1"/>
    <x v="3"/>
    <x v="3"/>
    <n v="8"/>
    <n v="250"/>
    <n v="2000"/>
    <n v="180"/>
    <n v="560"/>
  </r>
  <r>
    <x v="14"/>
    <x v="2"/>
    <x v="4"/>
    <x v="0"/>
    <n v="7"/>
    <n v="500"/>
    <n v="3500"/>
    <n v="350"/>
    <n v="1050"/>
  </r>
  <r>
    <x v="15"/>
    <x v="2"/>
    <x v="6"/>
    <x v="3"/>
    <n v="8"/>
    <n v="250"/>
    <n v="2000"/>
    <n v="180"/>
    <n v="560"/>
  </r>
  <r>
    <x v="16"/>
    <x v="1"/>
    <x v="0"/>
    <x v="0"/>
    <n v="7"/>
    <n v="500"/>
    <n v="3500"/>
    <n v="350"/>
    <n v="1050"/>
  </r>
  <r>
    <x v="17"/>
    <x v="3"/>
    <x v="2"/>
    <x v="1"/>
    <n v="10"/>
    <n v="400"/>
    <n v="4000"/>
    <n v="300"/>
    <n v="1000"/>
  </r>
  <r>
    <x v="18"/>
    <x v="2"/>
    <x v="7"/>
    <x v="0"/>
    <n v="8"/>
    <n v="500"/>
    <n v="4000"/>
    <n v="350"/>
    <n v="1200"/>
  </r>
  <r>
    <x v="11"/>
    <x v="3"/>
    <x v="4"/>
    <x v="4"/>
    <n v="6"/>
    <n v="700"/>
    <n v="4200"/>
    <n v="550"/>
    <n v="900"/>
  </r>
  <r>
    <x v="19"/>
    <x v="2"/>
    <x v="3"/>
    <x v="4"/>
    <n v="8"/>
    <n v="700"/>
    <n v="5600"/>
    <n v="550"/>
    <n v="1200"/>
  </r>
  <r>
    <x v="20"/>
    <x v="1"/>
    <x v="6"/>
    <x v="1"/>
    <n v="6"/>
    <n v="400"/>
    <n v="2400"/>
    <n v="300"/>
    <n v="600"/>
  </r>
  <r>
    <x v="21"/>
    <x v="1"/>
    <x v="0"/>
    <x v="1"/>
    <n v="2"/>
    <n v="400"/>
    <n v="800"/>
    <n v="300"/>
    <n v="200"/>
  </r>
  <r>
    <x v="22"/>
    <x v="1"/>
    <x v="1"/>
    <x v="0"/>
    <n v="10"/>
    <n v="500"/>
    <n v="5000"/>
    <n v="350"/>
    <n v="1500"/>
  </r>
  <r>
    <x v="23"/>
    <x v="2"/>
    <x v="4"/>
    <x v="3"/>
    <n v="4"/>
    <n v="250"/>
    <n v="1000"/>
    <n v="180"/>
    <n v="280"/>
  </r>
  <r>
    <x v="8"/>
    <x v="1"/>
    <x v="6"/>
    <x v="4"/>
    <n v="3"/>
    <n v="700"/>
    <n v="2100"/>
    <n v="550"/>
    <n v="450"/>
  </r>
  <r>
    <x v="24"/>
    <x v="0"/>
    <x v="6"/>
    <x v="1"/>
    <n v="6"/>
    <n v="400"/>
    <n v="2400"/>
    <n v="300"/>
    <n v="600"/>
  </r>
  <r>
    <x v="25"/>
    <x v="3"/>
    <x v="2"/>
    <x v="0"/>
    <n v="8"/>
    <n v="500"/>
    <n v="4000"/>
    <n v="350"/>
    <n v="1200"/>
  </r>
  <r>
    <x v="26"/>
    <x v="1"/>
    <x v="7"/>
    <x v="4"/>
    <n v="2"/>
    <n v="700"/>
    <n v="1400"/>
    <n v="550"/>
    <n v="300"/>
  </r>
  <r>
    <x v="27"/>
    <x v="1"/>
    <x v="4"/>
    <x v="3"/>
    <n v="7"/>
    <n v="250"/>
    <n v="1750"/>
    <n v="180"/>
    <n v="490"/>
  </r>
  <r>
    <x v="11"/>
    <x v="3"/>
    <x v="6"/>
    <x v="0"/>
    <n v="2"/>
    <n v="500"/>
    <n v="1000"/>
    <n v="350"/>
    <n v="300"/>
  </r>
  <r>
    <x v="28"/>
    <x v="0"/>
    <x v="1"/>
    <x v="3"/>
    <n v="9"/>
    <n v="250"/>
    <n v="2250"/>
    <n v="180"/>
    <n v="630"/>
  </r>
  <r>
    <x v="25"/>
    <x v="3"/>
    <x v="0"/>
    <x v="1"/>
    <n v="9"/>
    <n v="400"/>
    <n v="3600"/>
    <n v="300"/>
    <n v="900"/>
  </r>
  <r>
    <x v="29"/>
    <x v="1"/>
    <x v="5"/>
    <x v="3"/>
    <n v="7"/>
    <n v="250"/>
    <n v="1750"/>
    <n v="180"/>
    <n v="490"/>
  </r>
  <r>
    <x v="30"/>
    <x v="2"/>
    <x v="6"/>
    <x v="3"/>
    <n v="7"/>
    <n v="250"/>
    <n v="1750"/>
    <n v="180"/>
    <n v="490"/>
  </r>
  <r>
    <x v="31"/>
    <x v="1"/>
    <x v="7"/>
    <x v="0"/>
    <n v="7"/>
    <n v="500"/>
    <n v="3500"/>
    <n v="350"/>
    <n v="1050"/>
  </r>
  <r>
    <x v="22"/>
    <x v="1"/>
    <x v="6"/>
    <x v="4"/>
    <n v="4"/>
    <n v="700"/>
    <n v="2800"/>
    <n v="550"/>
    <n v="600"/>
  </r>
  <r>
    <x v="32"/>
    <x v="0"/>
    <x v="3"/>
    <x v="0"/>
    <n v="2"/>
    <n v="500"/>
    <n v="1000"/>
    <n v="350"/>
    <n v="300"/>
  </r>
  <r>
    <x v="33"/>
    <x v="0"/>
    <x v="1"/>
    <x v="4"/>
    <n v="4"/>
    <n v="700"/>
    <n v="2800"/>
    <n v="550"/>
    <n v="600"/>
  </r>
  <r>
    <x v="34"/>
    <x v="2"/>
    <x v="0"/>
    <x v="0"/>
    <n v="9"/>
    <n v="500"/>
    <n v="4500"/>
    <n v="350"/>
    <n v="1350"/>
  </r>
  <r>
    <x v="35"/>
    <x v="3"/>
    <x v="4"/>
    <x v="2"/>
    <n v="3"/>
    <n v="120"/>
    <n v="360"/>
    <n v="80"/>
    <n v="120"/>
  </r>
  <r>
    <x v="36"/>
    <x v="1"/>
    <x v="2"/>
    <x v="2"/>
    <n v="8"/>
    <n v="120"/>
    <n v="960"/>
    <n v="80"/>
    <n v="320"/>
  </r>
  <r>
    <x v="37"/>
    <x v="2"/>
    <x v="0"/>
    <x v="1"/>
    <n v="7"/>
    <n v="400"/>
    <n v="2800"/>
    <n v="300"/>
    <n v="700"/>
  </r>
  <r>
    <x v="38"/>
    <x v="0"/>
    <x v="7"/>
    <x v="3"/>
    <n v="4"/>
    <n v="250"/>
    <n v="1000"/>
    <n v="180"/>
    <n v="280"/>
  </r>
  <r>
    <x v="26"/>
    <x v="3"/>
    <x v="5"/>
    <x v="0"/>
    <n v="3"/>
    <n v="500"/>
    <n v="1500"/>
    <n v="350"/>
    <n v="450"/>
  </r>
  <r>
    <x v="39"/>
    <x v="0"/>
    <x v="0"/>
    <x v="2"/>
    <n v="10"/>
    <n v="120"/>
    <n v="1200"/>
    <n v="80"/>
    <n v="400"/>
  </r>
  <r>
    <x v="40"/>
    <x v="3"/>
    <x v="1"/>
    <x v="3"/>
    <n v="5"/>
    <n v="250"/>
    <n v="1250"/>
    <n v="180"/>
    <n v="350"/>
  </r>
  <r>
    <x v="41"/>
    <x v="3"/>
    <x v="5"/>
    <x v="4"/>
    <n v="6"/>
    <n v="700"/>
    <n v="4200"/>
    <n v="550"/>
    <n v="900"/>
  </r>
  <r>
    <x v="42"/>
    <x v="2"/>
    <x v="1"/>
    <x v="4"/>
    <n v="8"/>
    <n v="700"/>
    <n v="5600"/>
    <n v="550"/>
    <n v="1200"/>
  </r>
  <r>
    <x v="43"/>
    <x v="0"/>
    <x v="7"/>
    <x v="3"/>
    <n v="2"/>
    <n v="250"/>
    <n v="500"/>
    <n v="180"/>
    <n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 rowHeaderCaption="Month">
  <location ref="G2:H9" firstHeaderRow="1" firstDataRow="1" firstDataCol="1"/>
  <pivotFields count="2">
    <pivotField axis="axisRow" allDrilled="1" showAll="0" sortType="ascending" defaultAttributeDrillState="1">
      <items count="7">
        <item x="2"/>
        <item x="1"/>
        <item x="4"/>
        <item x="0"/>
        <item x="5"/>
        <item x="3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s" fld="1" baseField="0" baseItem="0"/>
  </dataFields>
  <formats count="21">
    <format dxfId="26">
      <pivotArea field="0" type="button" dataOnly="0" labelOnly="1" outline="0" axis="axisRow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dataOnly="0" fieldPosition="0">
        <references count="1">
          <reference field="0" count="0"/>
        </references>
      </pivotArea>
    </format>
    <format dxfId="22">
      <pivotArea dataOnly="0" fieldPosition="0">
        <references count="1">
          <reference field="0" count="0"/>
        </references>
      </pivotArea>
    </format>
    <format dxfId="21">
      <pivotArea dataOnly="0" fieldPosition="0">
        <references count="1">
          <reference field="0" count="0"/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0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Performance Dashboard.xlsx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Resion">
  <location ref="D2:E7" firstHeaderRow="1" firstDataRow="1" firstDataCol="1"/>
  <pivotFields count="9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formats count="19">
    <format dxfId="45">
      <pivotArea field="1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dataOnly="0" fieldPosition="0">
        <references count="1">
          <reference field="1" count="0"/>
        </references>
      </pivotArea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field="1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</formats>
  <chartFormats count="5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p Sales Persoal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 Person">
  <location ref="A8:B17" firstHeaderRow="1" firstDataRow="1" firstDataCol="1"/>
  <pivotFields count="9">
    <pivotField showAll="0"/>
    <pivotField showAll="0"/>
    <pivotField axis="axisRow" showAll="0" sortType="descending">
      <items count="9">
        <item x="5"/>
        <item x="0"/>
        <item x="4"/>
        <item x="1"/>
        <item x="6"/>
        <item x="2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9">
    <i>
      <x v="1"/>
    </i>
    <i>
      <x v="4"/>
    </i>
    <i>
      <x v="3"/>
    </i>
    <i>
      <x v="2"/>
    </i>
    <i>
      <x/>
    </i>
    <i>
      <x v="5"/>
    </i>
    <i>
      <x v="7"/>
    </i>
    <i>
      <x v="6"/>
    </i>
    <i t="grand">
      <x/>
    </i>
  </rowItems>
  <colItems count="1">
    <i/>
  </colItems>
  <dataFields count="1">
    <dataField name="Total Sells" fld="6" baseField="0" baseItem="0"/>
  </dataFields>
  <formats count="20">
    <format dxfId="65">
      <pivotArea field="2" type="button" dataOnly="0" labelOnly="1" outline="0" axis="axisRow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2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field="2" type="button" dataOnly="0" labelOnly="1" outline="0" axis="axisRow" fieldPosition="0"/>
    </format>
    <format dxfId="54">
      <pivotArea dataOnly="0" labelOnly="1" outline="0" axis="axisValues" fieldPosition="0"/>
    </format>
    <format dxfId="53">
      <pivotArea dataOnly="0" labelOnly="1" outline="0" axis="axisValues" fieldPosition="0"/>
    </format>
    <format dxfId="52">
      <pivotArea field="2" type="button" dataOnly="0" labelOnly="1" outline="0" axis="axisRow" fieldPosition="0"/>
    </format>
    <format dxfId="51">
      <pivotArea dataOnly="0" labelOnly="1" outline="0" axis="axisValues" fieldPosition="0"/>
    </format>
    <format dxfId="50">
      <pivotArea dataOnly="0" labelOnly="1" outline="0" axis="axisValues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collapsedLevelsAreSubtotals="1" fieldPosition="0">
        <references count="1">
          <reference field="2" count="0"/>
        </references>
      </pivotArea>
    </format>
    <format dxfId="46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Products">
  <location ref="D10:E16" firstHeaderRow="1" firstDataRow="1" firstDataCol="1"/>
  <pivotFields count="9"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6" baseField="0" baseItem="0"/>
  </dataFields>
  <formats count="21">
    <format dxfId="86">
      <pivotArea field="3" type="button" dataOnly="0" labelOnly="1" outline="0" axis="axisRow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dataOnly="0" fieldPosition="0">
        <references count="1">
          <reference field="3" count="0"/>
        </references>
      </pivotArea>
    </format>
    <format dxfId="82">
      <pivotArea dataOnly="0" grandRow="1" axis="axisRow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3" type="button" dataOnly="0" labelOnly="1" outline="0" axis="axisRow" fieldPosition="0"/>
    </format>
    <format dxfId="78">
      <pivotArea dataOnly="0" labelOnly="1" outline="0" axis="axisValues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field="3" type="button" dataOnly="0" labelOnly="1" outline="0" axis="axisRow" fieldPosition="0"/>
    </format>
    <format dxfId="73">
      <pivotArea dataOnly="0" labelOnly="1" outline="0" axis="axisValues" fieldPosition="0"/>
    </format>
    <format dxfId="72">
      <pivotArea dataOnly="0" labelOnly="1" outline="0" axis="axisValues" fieldPosition="0"/>
    </format>
    <format dxfId="71">
      <pivotArea field="3" type="button" dataOnly="0" labelOnly="1" outline="0" axis="axisRow" fieldPosition="0"/>
    </format>
    <format dxfId="70">
      <pivotArea dataOnly="0" labelOnly="1" outline="0" axis="axisValues" fieldPosition="0"/>
    </format>
    <format dxfId="69">
      <pivotArea dataOnly="0" labelOnly="1" outline="0" axis="axisValues" fieldPosition="0"/>
    </format>
    <format dxfId="68">
      <pivotArea field="3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labelOnly="1" outline="0" axis="axisValues" fieldPosition="0"/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person">
  <location ref="G12:I21" firstHeaderRow="0" firstDataRow="1" firstDataCol="1"/>
  <pivotFields count="9">
    <pivotField showAll="0"/>
    <pivotField showAll="0"/>
    <pivotField axis="axisRow" showAll="0" sortType="descending">
      <items count="9">
        <item x="5"/>
        <item x="0"/>
        <item x="4"/>
        <item x="1"/>
        <item x="6"/>
        <item x="2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</pivotFields>
  <rowFields count="1">
    <field x="2"/>
  </rowFields>
  <rowItems count="9">
    <i>
      <x v="1"/>
    </i>
    <i>
      <x v="4"/>
    </i>
    <i>
      <x v="3"/>
    </i>
    <i>
      <x v="2"/>
    </i>
    <i>
      <x/>
    </i>
    <i>
      <x v="5"/>
    </i>
    <i>
      <x v="7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Total Profit" fld="8" baseField="0" baseItem="0"/>
  </dataFields>
  <formats count="18">
    <format dxfId="104">
      <pivotArea field="2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collapsedLevelsAreSubtotals="1" fieldPosition="0">
        <references count="1">
          <reference field="2" count="0"/>
        </references>
      </pivotArea>
    </format>
    <format dxfId="101">
      <pivotArea dataOnly="0" labelOnly="1" fieldPosition="0">
        <references count="1">
          <reference field="2" count="0"/>
        </references>
      </pivotArea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2" type="button" dataOnly="0" labelOnly="1" outline="0" axis="axisRow" fieldPosition="0"/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2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field="2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field="2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51" totalsRowShown="0" headerRowDxfId="107" tableBorderDxfId="106">
  <autoFilter ref="A1:J51"/>
  <tableColumns count="10">
    <tableColumn id="1" name="Date"/>
    <tableColumn id="10" name="Month-Year" dataDxfId="105">
      <calculatedColumnFormula>TEXT(Table1[[#This Row],[Date]], "mmm")</calculatedColumnFormula>
    </tableColumn>
    <tableColumn id="2" name="Region"/>
    <tableColumn id="3" name="Salesperson"/>
    <tableColumn id="4" name="Product"/>
    <tableColumn id="5" name="Units Sold"/>
    <tableColumn id="6" name="Unit Price"/>
    <tableColumn id="7" name="Total Sales"/>
    <tableColumn id="8" name="Cost per Unit"/>
    <tableColumn id="9" name="Profit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3" name="Calculations" displayName="Calculations" ref="A2:B5" totalsRowShown="0" headerRowDxfId="5" dataDxfId="3" headerRowBorderDxfId="4" tableBorderDxfId="2">
  <autoFilter ref="A2:B5"/>
  <tableColumns count="2">
    <tableColumn id="1" name="Title " dataDxfId="1"/>
    <tableColumn id="2" name="Total 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D14" sqref="D14"/>
    </sheetView>
  </sheetViews>
  <sheetFormatPr defaultRowHeight="15" x14ac:dyDescent="0.25"/>
  <cols>
    <col min="1" max="1" width="5.5703125" customWidth="1"/>
    <col min="2" max="2" width="22.7109375" bestFit="1" customWidth="1"/>
    <col min="3" max="3" width="73.7109375" style="37" customWidth="1"/>
  </cols>
  <sheetData>
    <row r="1" spans="1:3" ht="15.75" x14ac:dyDescent="0.25">
      <c r="A1" s="38" t="s">
        <v>58</v>
      </c>
      <c r="B1" s="39" t="s">
        <v>55</v>
      </c>
      <c r="C1" s="40" t="s">
        <v>57</v>
      </c>
    </row>
    <row r="2" spans="1:3" x14ac:dyDescent="0.25">
      <c r="A2" s="41">
        <v>1</v>
      </c>
      <c r="B2" s="42" t="s">
        <v>56</v>
      </c>
      <c r="C2" s="43" t="s">
        <v>49</v>
      </c>
    </row>
    <row r="3" spans="1:3" x14ac:dyDescent="0.25">
      <c r="A3" s="41">
        <v>2</v>
      </c>
      <c r="B3" s="42" t="s">
        <v>57</v>
      </c>
      <c r="C3" s="43" t="s">
        <v>61</v>
      </c>
    </row>
    <row r="4" spans="1:3" x14ac:dyDescent="0.25">
      <c r="A4" s="41"/>
      <c r="B4" s="42"/>
      <c r="C4" s="43" t="s">
        <v>62</v>
      </c>
    </row>
    <row r="5" spans="1:3" ht="16.5" customHeight="1" x14ac:dyDescent="0.25">
      <c r="A5" s="41"/>
      <c r="B5" s="42"/>
      <c r="C5" s="43" t="s">
        <v>63</v>
      </c>
    </row>
    <row r="6" spans="1:3" x14ac:dyDescent="0.25">
      <c r="A6" s="41"/>
      <c r="B6" s="42"/>
      <c r="C6" s="43" t="s">
        <v>64</v>
      </c>
    </row>
    <row r="7" spans="1:3" ht="14.25" customHeight="1" x14ac:dyDescent="0.25">
      <c r="A7" s="41"/>
      <c r="B7" s="42"/>
      <c r="C7" s="43" t="s">
        <v>75</v>
      </c>
    </row>
    <row r="8" spans="1:3" ht="30" x14ac:dyDescent="0.25">
      <c r="A8" s="41">
        <v>3</v>
      </c>
      <c r="B8" s="42" t="s">
        <v>59</v>
      </c>
      <c r="C8" s="43" t="s">
        <v>65</v>
      </c>
    </row>
    <row r="9" spans="1:3" x14ac:dyDescent="0.25">
      <c r="A9" s="41"/>
      <c r="B9" s="42"/>
      <c r="C9" s="43" t="s">
        <v>66</v>
      </c>
    </row>
    <row r="10" spans="1:3" x14ac:dyDescent="0.25">
      <c r="A10" s="41"/>
      <c r="B10" s="42"/>
      <c r="C10" s="43" t="s">
        <v>67</v>
      </c>
    </row>
    <row r="11" spans="1:3" x14ac:dyDescent="0.25">
      <c r="A11" s="41"/>
      <c r="B11" s="42"/>
      <c r="C11" s="43" t="s">
        <v>68</v>
      </c>
    </row>
    <row r="12" spans="1:3" x14ac:dyDescent="0.25">
      <c r="A12" s="41"/>
      <c r="B12" s="42"/>
      <c r="C12" s="43" t="s">
        <v>74</v>
      </c>
    </row>
    <row r="13" spans="1:3" x14ac:dyDescent="0.25">
      <c r="A13" s="41">
        <v>4</v>
      </c>
      <c r="B13" s="42" t="s">
        <v>60</v>
      </c>
      <c r="C13" s="43" t="s">
        <v>69</v>
      </c>
    </row>
    <row r="14" spans="1:3" x14ac:dyDescent="0.25">
      <c r="A14" s="44"/>
      <c r="B14" s="45"/>
      <c r="C14" s="43" t="s">
        <v>70</v>
      </c>
    </row>
    <row r="15" spans="1:3" x14ac:dyDescent="0.25">
      <c r="A15" s="44"/>
      <c r="B15" s="45"/>
      <c r="C15" s="43" t="s">
        <v>71</v>
      </c>
    </row>
    <row r="16" spans="1:3" x14ac:dyDescent="0.25">
      <c r="A16" s="44"/>
      <c r="B16" s="45"/>
      <c r="C16" s="43" t="s">
        <v>72</v>
      </c>
    </row>
    <row r="17" spans="1:3" x14ac:dyDescent="0.25">
      <c r="A17" s="46"/>
      <c r="B17" s="47"/>
      <c r="C17" s="48" t="s">
        <v>73</v>
      </c>
    </row>
  </sheetData>
  <sheetProtection algorithmName="SHA-512" hashValue="SiZqm1noyX9TthJHMCCVGOOhZBvKCehD5AaeXd+py5ee2woqN5UN7EYj9/xHbM+K4ortXdFKkHu+CDkaCFyROQ==" saltValue="7pt8YcQJkgqwj9jMj+KRYw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zoomScale="90" zoomScaleNormal="90" workbookViewId="0">
      <selection activeCell="S15" sqref="S15"/>
    </sheetView>
  </sheetViews>
  <sheetFormatPr defaultRowHeight="15" x14ac:dyDescent="0.25"/>
  <cols>
    <col min="1" max="6" width="9.140625" style="21"/>
    <col min="7" max="7" width="6.140625" style="21" customWidth="1"/>
    <col min="8" max="12" width="9.140625" style="21"/>
    <col min="13" max="13" width="9.140625" style="21" customWidth="1"/>
    <col min="14" max="14" width="2.85546875" style="21" customWidth="1"/>
    <col min="15" max="16384" width="9.140625" style="21"/>
  </cols>
  <sheetData>
    <row r="1" spans="1:14" ht="45" customHeight="1" x14ac:dyDescent="0.25">
      <c r="A1" s="61" t="s">
        <v>49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</row>
    <row r="2" spans="1:14" ht="21" customHeight="1" x14ac:dyDescent="0.25">
      <c r="A2" s="49"/>
      <c r="B2" s="65" t="s">
        <v>6</v>
      </c>
      <c r="C2" s="65"/>
      <c r="D2" s="50"/>
      <c r="E2" s="65" t="s">
        <v>50</v>
      </c>
      <c r="F2" s="65"/>
      <c r="G2" s="50"/>
      <c r="H2" s="65" t="s">
        <v>51</v>
      </c>
      <c r="I2" s="65"/>
      <c r="J2" s="50"/>
      <c r="K2" s="65" t="s">
        <v>52</v>
      </c>
      <c r="L2" s="65"/>
      <c r="M2" s="51"/>
      <c r="N2" s="52"/>
    </row>
    <row r="3" spans="1:14" ht="24" customHeight="1" x14ac:dyDescent="0.25">
      <c r="A3" s="49"/>
      <c r="B3" s="66">
        <f>'Functional Sheet'!B3</f>
        <v>119040</v>
      </c>
      <c r="C3" s="66"/>
      <c r="D3" s="53"/>
      <c r="E3" s="66">
        <f>'Functional Sheet'!B4</f>
        <v>31370</v>
      </c>
      <c r="F3" s="66"/>
      <c r="G3" s="53"/>
      <c r="H3" s="66">
        <f>'Functional Sheet'!B5</f>
        <v>21050</v>
      </c>
      <c r="I3" s="66"/>
      <c r="J3" s="53"/>
      <c r="K3" s="66" t="str">
        <f>'Functional Sheet'!A9</f>
        <v>Arjun</v>
      </c>
      <c r="L3" s="66"/>
      <c r="M3" s="54"/>
      <c r="N3" s="52"/>
    </row>
    <row r="4" spans="1:14" x14ac:dyDescent="0.25">
      <c r="A4" s="49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1:14" x14ac:dyDescent="0.25">
      <c r="A5" s="49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2"/>
    </row>
    <row r="6" spans="1:14" x14ac:dyDescent="0.25">
      <c r="A6" s="49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2"/>
    </row>
    <row r="7" spans="1:14" x14ac:dyDescent="0.25">
      <c r="A7" s="49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2"/>
    </row>
    <row r="8" spans="1:14" x14ac:dyDescent="0.25">
      <c r="A8" s="49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2"/>
    </row>
    <row r="9" spans="1:14" x14ac:dyDescent="0.25">
      <c r="A9" s="49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2"/>
    </row>
    <row r="10" spans="1:14" x14ac:dyDescent="0.25">
      <c r="A10" s="49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1:14" x14ac:dyDescent="0.25">
      <c r="A11" s="49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14" x14ac:dyDescent="0.25">
      <c r="A12" s="49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2"/>
    </row>
    <row r="13" spans="1:14" x14ac:dyDescent="0.25">
      <c r="A13" s="49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</row>
    <row r="14" spans="1:14" x14ac:dyDescent="0.25">
      <c r="A14" s="49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2"/>
    </row>
    <row r="15" spans="1:14" x14ac:dyDescent="0.25">
      <c r="A15" s="49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/>
    </row>
    <row r="16" spans="1:14" ht="27" customHeight="1" x14ac:dyDescent="0.25">
      <c r="A16" s="49"/>
      <c r="B16" s="51"/>
      <c r="C16" s="51"/>
      <c r="D16" s="51"/>
      <c r="E16" s="51"/>
      <c r="F16" s="51"/>
      <c r="G16" s="51"/>
      <c r="H16" s="64" t="s">
        <v>53</v>
      </c>
      <c r="I16" s="64"/>
      <c r="J16" s="64"/>
      <c r="K16" s="64"/>
      <c r="L16" s="64"/>
      <c r="M16" s="64"/>
      <c r="N16" s="52"/>
    </row>
    <row r="17" spans="1:16" ht="21.75" customHeight="1" x14ac:dyDescent="0.25">
      <c r="A17" s="49"/>
      <c r="B17" s="51"/>
      <c r="C17" s="51"/>
      <c r="D17" s="51"/>
      <c r="E17" s="51"/>
      <c r="F17" s="51"/>
      <c r="G17" s="51"/>
      <c r="H17" s="59" t="s">
        <v>2</v>
      </c>
      <c r="I17" s="59"/>
      <c r="J17" s="59" t="s">
        <v>6</v>
      </c>
      <c r="K17" s="59"/>
      <c r="L17" s="59" t="s">
        <v>50</v>
      </c>
      <c r="M17" s="59"/>
      <c r="N17" s="52"/>
    </row>
    <row r="18" spans="1:16" x14ac:dyDescent="0.25">
      <c r="A18" s="49"/>
      <c r="B18" s="51"/>
      <c r="C18" s="51"/>
      <c r="D18" s="51"/>
      <c r="E18" s="51"/>
      <c r="F18" s="51"/>
      <c r="G18" s="51"/>
      <c r="H18" s="60" t="str">
        <f>'Functional Sheet'!G13</f>
        <v>Arjun</v>
      </c>
      <c r="I18" s="60"/>
      <c r="J18" s="60">
        <f>GETPIVOTDATA("Sum of Total Sales",'Functional Sheet'!$G$12,"Salesperson","Arjun")</f>
        <v>19700</v>
      </c>
      <c r="K18" s="60"/>
      <c r="L18" s="60">
        <f>GETPIVOTDATA("Total Profit",'Functional Sheet'!$G$12,"Salesperson","Arjun")</f>
        <v>5550</v>
      </c>
      <c r="M18" s="60"/>
      <c r="N18" s="52"/>
    </row>
    <row r="19" spans="1:16" x14ac:dyDescent="0.25">
      <c r="A19" s="49"/>
      <c r="B19" s="51"/>
      <c r="C19" s="51"/>
      <c r="D19" s="51"/>
      <c r="E19" s="51"/>
      <c r="F19" s="51"/>
      <c r="G19" s="51"/>
      <c r="H19" s="60"/>
      <c r="I19" s="60"/>
      <c r="J19" s="60"/>
      <c r="K19" s="60"/>
      <c r="L19" s="60"/>
      <c r="M19" s="60"/>
      <c r="N19" s="52"/>
    </row>
    <row r="20" spans="1:16" x14ac:dyDescent="0.25">
      <c r="A20" s="49"/>
      <c r="B20" s="51"/>
      <c r="C20" s="51"/>
      <c r="D20" s="51"/>
      <c r="E20" s="51"/>
      <c r="F20" s="51"/>
      <c r="G20" s="51"/>
      <c r="H20" s="55"/>
      <c r="I20" s="55"/>
      <c r="J20" s="55"/>
      <c r="K20" s="55"/>
      <c r="L20" s="55"/>
      <c r="M20" s="55"/>
      <c r="N20" s="52"/>
    </row>
    <row r="21" spans="1:16" x14ac:dyDescent="0.25">
      <c r="A21" s="49"/>
      <c r="B21" s="51"/>
      <c r="C21" s="51"/>
      <c r="D21" s="51"/>
      <c r="E21" s="51"/>
      <c r="F21" s="51"/>
      <c r="G21" s="51"/>
      <c r="H21" s="60" t="str">
        <f>'Functional Sheet'!G14</f>
        <v>Nisha</v>
      </c>
      <c r="I21" s="60"/>
      <c r="J21" s="60">
        <f>GETPIVOTDATA("Sum of Total Sales",'Functional Sheet'!$G$12,"Salesperson","Nisha")</f>
        <v>19450</v>
      </c>
      <c r="K21" s="60"/>
      <c r="L21" s="60">
        <f>GETPIVOTDATA("Total Profit",'Functional Sheet'!$G$12,"Salesperson","Nisha")</f>
        <v>5100</v>
      </c>
      <c r="M21" s="60"/>
      <c r="N21" s="52"/>
    </row>
    <row r="22" spans="1:16" x14ac:dyDescent="0.25">
      <c r="A22" s="49"/>
      <c r="B22" s="51"/>
      <c r="C22" s="51"/>
      <c r="D22" s="51"/>
      <c r="E22" s="51"/>
      <c r="F22" s="51"/>
      <c r="G22" s="51"/>
      <c r="H22" s="60"/>
      <c r="I22" s="60"/>
      <c r="J22" s="60"/>
      <c r="K22" s="60"/>
      <c r="L22" s="60"/>
      <c r="M22" s="60"/>
      <c r="N22" s="52"/>
    </row>
    <row r="23" spans="1:16" x14ac:dyDescent="0.25">
      <c r="A23" s="49"/>
      <c r="B23" s="51"/>
      <c r="C23" s="51"/>
      <c r="D23" s="51"/>
      <c r="E23" s="51"/>
      <c r="F23" s="51"/>
      <c r="G23" s="51"/>
      <c r="H23" s="55"/>
      <c r="I23" s="55"/>
      <c r="J23" s="55"/>
      <c r="K23" s="55"/>
      <c r="L23" s="55"/>
      <c r="M23" s="55"/>
      <c r="N23" s="52"/>
    </row>
    <row r="24" spans="1:16" x14ac:dyDescent="0.25">
      <c r="A24" s="49"/>
      <c r="B24" s="51"/>
      <c r="C24" s="51"/>
      <c r="D24" s="51"/>
      <c r="E24" s="51"/>
      <c r="F24" s="51"/>
      <c r="G24" s="51"/>
      <c r="H24" s="60" t="str">
        <f>'Functional Sheet'!G15</f>
        <v>Maya</v>
      </c>
      <c r="I24" s="60"/>
      <c r="J24" s="60">
        <f>GETPIVOTDATA("Sum of Total Sales",'Functional Sheet'!$G$12,"Salesperson","Maya")</f>
        <v>17400</v>
      </c>
      <c r="K24" s="60"/>
      <c r="L24" s="60">
        <f>GETPIVOTDATA("Total Profit",'Functional Sheet'!$G$12,"Salesperson","Maya")</f>
        <v>4430</v>
      </c>
      <c r="M24" s="60"/>
      <c r="N24" s="52"/>
    </row>
    <row r="25" spans="1:16" x14ac:dyDescent="0.25">
      <c r="A25" s="49"/>
      <c r="B25" s="51"/>
      <c r="C25" s="51"/>
      <c r="D25" s="51"/>
      <c r="E25" s="51"/>
      <c r="F25" s="51"/>
      <c r="G25" s="51"/>
      <c r="H25" s="60"/>
      <c r="I25" s="60"/>
      <c r="J25" s="60"/>
      <c r="K25" s="60"/>
      <c r="L25" s="60"/>
      <c r="M25" s="60"/>
      <c r="N25" s="52"/>
      <c r="P25" s="36"/>
    </row>
    <row r="26" spans="1:16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8"/>
    </row>
  </sheetData>
  <sheetProtection algorithmName="SHA-512" hashValue="k2Akrb/1DRTpHy9GqL6/bPP0HO69/JiI3u3J3vAHAqk5f93lxwsGBjFPkfvlVF0sXeFGAkfPzNn6tkmZZmJs/Q==" saltValue="oDuc2D1nlCdpL4xzq7VJ5Q==" spinCount="100000" sheet="1" objects="1" scenarios="1" selectLockedCells="1" selectUnlockedCells="1"/>
  <mergeCells count="22">
    <mergeCell ref="A1:N1"/>
    <mergeCell ref="J21:K22"/>
    <mergeCell ref="H21:I22"/>
    <mergeCell ref="L18:M19"/>
    <mergeCell ref="J18:K19"/>
    <mergeCell ref="H18:I19"/>
    <mergeCell ref="H16:M16"/>
    <mergeCell ref="E2:F2"/>
    <mergeCell ref="E3:F3"/>
    <mergeCell ref="H2:I2"/>
    <mergeCell ref="H3:I3"/>
    <mergeCell ref="K2:L2"/>
    <mergeCell ref="K3:L3"/>
    <mergeCell ref="B2:C2"/>
    <mergeCell ref="B3:C3"/>
    <mergeCell ref="L17:M17"/>
    <mergeCell ref="J17:K17"/>
    <mergeCell ref="H17:I17"/>
    <mergeCell ref="L21:M22"/>
    <mergeCell ref="H24:I25"/>
    <mergeCell ref="J24:K25"/>
    <mergeCell ref="L24:M2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zoomScale="90" zoomScaleNormal="90" workbookViewId="0">
      <selection activeCell="L17" sqref="L17"/>
    </sheetView>
  </sheetViews>
  <sheetFormatPr defaultRowHeight="15" x14ac:dyDescent="0.25"/>
  <cols>
    <col min="1" max="1" width="11.28515625" bestFit="1" customWidth="1"/>
    <col min="2" max="2" width="16.42578125" customWidth="1"/>
    <col min="3" max="3" width="13.7109375" bestFit="1" customWidth="1"/>
    <col min="4" max="4" width="19.7109375" bestFit="1" customWidth="1"/>
    <col min="5" max="5" width="14.7109375" customWidth="1"/>
    <col min="6" max="6" width="17.28515625" bestFit="1" customWidth="1"/>
    <col min="7" max="7" width="17" bestFit="1" customWidth="1"/>
    <col min="8" max="8" width="18.140625" bestFit="1" customWidth="1"/>
    <col min="9" max="9" width="20.85546875" bestFit="1" customWidth="1"/>
    <col min="10" max="10" width="12.28515625" bestFit="1" customWidth="1"/>
  </cols>
  <sheetData>
    <row r="1" spans="1:10" s="3" customFormat="1" ht="18.75" x14ac:dyDescent="0.3">
      <c r="A1" s="2" t="s">
        <v>0</v>
      </c>
      <c r="B1" s="2" t="s">
        <v>40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18">
        <v>45727</v>
      </c>
      <c r="B2" s="18" t="str">
        <f>TEXT(Table1[[#This Row],[Date]], "mmm")</f>
        <v>Mar</v>
      </c>
      <c r="C2" s="1" t="s">
        <v>9</v>
      </c>
      <c r="D2" s="1" t="s">
        <v>10</v>
      </c>
      <c r="E2" s="1" t="s">
        <v>11</v>
      </c>
      <c r="F2" s="1">
        <v>5</v>
      </c>
      <c r="G2" s="1">
        <v>500</v>
      </c>
      <c r="H2" s="1">
        <v>2500</v>
      </c>
      <c r="I2" s="1">
        <v>350</v>
      </c>
      <c r="J2" s="1">
        <v>750</v>
      </c>
    </row>
    <row r="3" spans="1:10" x14ac:dyDescent="0.25">
      <c r="A3" s="18">
        <v>45813</v>
      </c>
      <c r="B3" s="18" t="str">
        <f>TEXT(Table1[[#This Row],[Date]], "mmm")</f>
        <v>Jun</v>
      </c>
      <c r="C3" s="1" t="s">
        <v>12</v>
      </c>
      <c r="D3" s="1" t="s">
        <v>13</v>
      </c>
      <c r="E3" s="1" t="s">
        <v>11</v>
      </c>
      <c r="F3" s="1">
        <v>1</v>
      </c>
      <c r="G3" s="1">
        <v>500</v>
      </c>
      <c r="H3" s="1">
        <v>500</v>
      </c>
      <c r="I3" s="1">
        <v>350</v>
      </c>
      <c r="J3" s="1">
        <v>150</v>
      </c>
    </row>
    <row r="4" spans="1:10" x14ac:dyDescent="0.25">
      <c r="A4" s="18">
        <v>45705</v>
      </c>
      <c r="B4" s="18" t="str">
        <f>TEXT(Table1[[#This Row],[Date]], "mmm")</f>
        <v>Feb</v>
      </c>
      <c r="C4" s="1" t="s">
        <v>9</v>
      </c>
      <c r="D4" s="1" t="s">
        <v>10</v>
      </c>
      <c r="E4" s="1" t="s">
        <v>14</v>
      </c>
      <c r="F4" s="1">
        <v>2</v>
      </c>
      <c r="G4" s="1">
        <v>400</v>
      </c>
      <c r="H4" s="1">
        <v>800</v>
      </c>
      <c r="I4" s="1">
        <v>300</v>
      </c>
      <c r="J4" s="1">
        <v>200</v>
      </c>
    </row>
    <row r="5" spans="1:10" x14ac:dyDescent="0.25">
      <c r="A5" s="18">
        <v>45689</v>
      </c>
      <c r="B5" s="18" t="str">
        <f>TEXT(Table1[[#This Row],[Date]], "mmm")</f>
        <v>Feb</v>
      </c>
      <c r="C5" s="1" t="s">
        <v>12</v>
      </c>
      <c r="D5" s="1" t="s">
        <v>15</v>
      </c>
      <c r="E5" s="1" t="s">
        <v>16</v>
      </c>
      <c r="F5" s="1">
        <v>9</v>
      </c>
      <c r="G5" s="1">
        <v>120</v>
      </c>
      <c r="H5" s="1">
        <v>1080</v>
      </c>
      <c r="I5" s="1">
        <v>80</v>
      </c>
      <c r="J5" s="1">
        <v>360</v>
      </c>
    </row>
    <row r="6" spans="1:10" x14ac:dyDescent="0.25">
      <c r="A6" s="18">
        <v>45721</v>
      </c>
      <c r="B6" s="18" t="str">
        <f>TEXT(Table1[[#This Row],[Date]], "mmm")</f>
        <v>Mar</v>
      </c>
      <c r="C6" s="1" t="s">
        <v>17</v>
      </c>
      <c r="D6" s="1" t="s">
        <v>18</v>
      </c>
      <c r="E6" s="1" t="s">
        <v>16</v>
      </c>
      <c r="F6" s="1">
        <v>7</v>
      </c>
      <c r="G6" s="1">
        <v>120</v>
      </c>
      <c r="H6" s="1">
        <v>840</v>
      </c>
      <c r="I6" s="1">
        <v>80</v>
      </c>
      <c r="J6" s="1">
        <v>280</v>
      </c>
    </row>
    <row r="7" spans="1:10" x14ac:dyDescent="0.25">
      <c r="A7" s="18">
        <v>45786</v>
      </c>
      <c r="B7" s="18" t="str">
        <f>TEXT(Table1[[#This Row],[Date]], "mmm")</f>
        <v>May</v>
      </c>
      <c r="C7" s="1" t="s">
        <v>19</v>
      </c>
      <c r="D7" s="1" t="s">
        <v>20</v>
      </c>
      <c r="E7" s="1" t="s">
        <v>14</v>
      </c>
      <c r="F7" s="1">
        <v>7</v>
      </c>
      <c r="G7" s="1">
        <v>400</v>
      </c>
      <c r="H7" s="1">
        <v>2800</v>
      </c>
      <c r="I7" s="1">
        <v>300</v>
      </c>
      <c r="J7" s="1">
        <v>700</v>
      </c>
    </row>
    <row r="8" spans="1:10" x14ac:dyDescent="0.25">
      <c r="A8" s="18">
        <v>45731</v>
      </c>
      <c r="B8" s="18" t="str">
        <f>TEXT(Table1[[#This Row],[Date]], "mmm")</f>
        <v>Mar</v>
      </c>
      <c r="C8" s="1" t="s">
        <v>9</v>
      </c>
      <c r="D8" s="1" t="s">
        <v>18</v>
      </c>
      <c r="E8" s="1" t="s">
        <v>21</v>
      </c>
      <c r="F8" s="1">
        <v>1</v>
      </c>
      <c r="G8" s="1">
        <v>250</v>
      </c>
      <c r="H8" s="1">
        <v>250</v>
      </c>
      <c r="I8" s="1">
        <v>180</v>
      </c>
      <c r="J8" s="1">
        <v>70</v>
      </c>
    </row>
    <row r="9" spans="1:10" x14ac:dyDescent="0.25">
      <c r="A9" s="18">
        <v>45798</v>
      </c>
      <c r="B9" s="18" t="str">
        <f>TEXT(Table1[[#This Row],[Date]], "mmm")</f>
        <v>May</v>
      </c>
      <c r="C9" s="1" t="s">
        <v>17</v>
      </c>
      <c r="D9" s="1" t="s">
        <v>15</v>
      </c>
      <c r="E9" s="1" t="s">
        <v>14</v>
      </c>
      <c r="F9" s="1">
        <v>3</v>
      </c>
      <c r="G9" s="1">
        <v>400</v>
      </c>
      <c r="H9" s="1">
        <v>1200</v>
      </c>
      <c r="I9" s="1">
        <v>300</v>
      </c>
      <c r="J9" s="1">
        <v>300</v>
      </c>
    </row>
    <row r="10" spans="1:10" x14ac:dyDescent="0.25">
      <c r="A10" s="18">
        <v>45697</v>
      </c>
      <c r="B10" s="18" t="str">
        <f>TEXT(Table1[[#This Row],[Date]], "mmm")</f>
        <v>Feb</v>
      </c>
      <c r="C10" s="1" t="s">
        <v>17</v>
      </c>
      <c r="D10" s="1" t="s">
        <v>22</v>
      </c>
      <c r="E10" s="1" t="s">
        <v>23</v>
      </c>
      <c r="F10" s="1">
        <v>8</v>
      </c>
      <c r="G10" s="1">
        <v>700</v>
      </c>
      <c r="H10" s="1">
        <v>5600</v>
      </c>
      <c r="I10" s="1">
        <v>550</v>
      </c>
      <c r="J10" s="1">
        <v>1200</v>
      </c>
    </row>
    <row r="11" spans="1:10" x14ac:dyDescent="0.25">
      <c r="A11" s="18">
        <v>45710</v>
      </c>
      <c r="B11" s="18" t="str">
        <f>TEXT(Table1[[#This Row],[Date]], "mmm")</f>
        <v>Feb</v>
      </c>
      <c r="C11" s="1" t="s">
        <v>9</v>
      </c>
      <c r="D11" s="1" t="s">
        <v>24</v>
      </c>
      <c r="E11" s="1" t="s">
        <v>11</v>
      </c>
      <c r="F11" s="1">
        <v>10</v>
      </c>
      <c r="G11" s="1">
        <v>500</v>
      </c>
      <c r="H11" s="1">
        <v>5000</v>
      </c>
      <c r="I11" s="1">
        <v>350</v>
      </c>
      <c r="J11" s="1">
        <v>1500</v>
      </c>
    </row>
    <row r="12" spans="1:10" x14ac:dyDescent="0.25">
      <c r="A12" s="18">
        <v>45811</v>
      </c>
      <c r="B12" s="18" t="str">
        <f>TEXT(Table1[[#This Row],[Date]], "mmm")</f>
        <v>Jun</v>
      </c>
      <c r="C12" s="1" t="s">
        <v>19</v>
      </c>
      <c r="D12" s="1" t="s">
        <v>15</v>
      </c>
      <c r="E12" s="1" t="s">
        <v>14</v>
      </c>
      <c r="F12" s="1">
        <v>4</v>
      </c>
      <c r="G12" s="1">
        <v>400</v>
      </c>
      <c r="H12" s="1">
        <v>1600</v>
      </c>
      <c r="I12" s="1">
        <v>300</v>
      </c>
      <c r="J12" s="1">
        <v>400</v>
      </c>
    </row>
    <row r="13" spans="1:10" x14ac:dyDescent="0.25">
      <c r="A13" s="18">
        <v>45691</v>
      </c>
      <c r="B13" s="18" t="str">
        <f>TEXT(Table1[[#This Row],[Date]], "mmm")</f>
        <v>Feb</v>
      </c>
      <c r="C13" s="1" t="s">
        <v>17</v>
      </c>
      <c r="D13" s="1" t="s">
        <v>18</v>
      </c>
      <c r="E13" s="1" t="s">
        <v>11</v>
      </c>
      <c r="F13" s="1">
        <v>1</v>
      </c>
      <c r="G13" s="1">
        <v>500</v>
      </c>
      <c r="H13" s="1">
        <v>500</v>
      </c>
      <c r="I13" s="1">
        <v>350</v>
      </c>
      <c r="J13" s="1">
        <v>150</v>
      </c>
    </row>
    <row r="14" spans="1:10" x14ac:dyDescent="0.25">
      <c r="A14" s="18">
        <v>45744</v>
      </c>
      <c r="B14" s="18" t="str">
        <f>TEXT(Table1[[#This Row],[Date]], "mmm")</f>
        <v>Mar</v>
      </c>
      <c r="C14" s="1" t="s">
        <v>17</v>
      </c>
      <c r="D14" s="1" t="s">
        <v>18</v>
      </c>
      <c r="E14" s="1" t="s">
        <v>14</v>
      </c>
      <c r="F14" s="1">
        <v>6</v>
      </c>
      <c r="G14" s="1">
        <v>400</v>
      </c>
      <c r="H14" s="1">
        <v>2400</v>
      </c>
      <c r="I14" s="1">
        <v>300</v>
      </c>
      <c r="J14" s="1">
        <v>600</v>
      </c>
    </row>
    <row r="15" spans="1:10" x14ac:dyDescent="0.25">
      <c r="A15" s="18">
        <v>45805</v>
      </c>
      <c r="B15" s="18" t="str">
        <f>TEXT(Table1[[#This Row],[Date]], "mmm")</f>
        <v>May</v>
      </c>
      <c r="C15" s="1" t="s">
        <v>12</v>
      </c>
      <c r="D15" s="1" t="s">
        <v>18</v>
      </c>
      <c r="E15" s="1" t="s">
        <v>21</v>
      </c>
      <c r="F15" s="1">
        <v>8</v>
      </c>
      <c r="G15" s="1">
        <v>250</v>
      </c>
      <c r="H15" s="1">
        <v>2000</v>
      </c>
      <c r="I15" s="1">
        <v>180</v>
      </c>
      <c r="J15" s="1">
        <v>560</v>
      </c>
    </row>
    <row r="16" spans="1:10" x14ac:dyDescent="0.25">
      <c r="A16" s="18">
        <v>45709</v>
      </c>
      <c r="B16" s="18" t="str">
        <f>TEXT(Table1[[#This Row],[Date]], "mmm")</f>
        <v>Feb</v>
      </c>
      <c r="C16" s="1" t="s">
        <v>17</v>
      </c>
      <c r="D16" s="1" t="s">
        <v>20</v>
      </c>
      <c r="E16" s="1" t="s">
        <v>11</v>
      </c>
      <c r="F16" s="1">
        <v>7</v>
      </c>
      <c r="G16" s="1">
        <v>500</v>
      </c>
      <c r="H16" s="1">
        <v>3500</v>
      </c>
      <c r="I16" s="1">
        <v>350</v>
      </c>
      <c r="J16" s="1">
        <v>1050</v>
      </c>
    </row>
    <row r="17" spans="1:10" x14ac:dyDescent="0.25">
      <c r="A17" s="18">
        <v>45663</v>
      </c>
      <c r="B17" s="18" t="str">
        <f>TEXT(Table1[[#This Row],[Date]], "mmm")</f>
        <v>Jan</v>
      </c>
      <c r="C17" s="1" t="s">
        <v>17</v>
      </c>
      <c r="D17" s="1" t="s">
        <v>24</v>
      </c>
      <c r="E17" s="1" t="s">
        <v>21</v>
      </c>
      <c r="F17" s="1">
        <v>8</v>
      </c>
      <c r="G17" s="1">
        <v>250</v>
      </c>
      <c r="H17" s="1">
        <v>2000</v>
      </c>
      <c r="I17" s="1">
        <v>180</v>
      </c>
      <c r="J17" s="1">
        <v>560</v>
      </c>
    </row>
    <row r="18" spans="1:10" x14ac:dyDescent="0.25">
      <c r="A18" s="18">
        <v>45758</v>
      </c>
      <c r="B18" s="18" t="str">
        <f>TEXT(Table1[[#This Row],[Date]], "mmm")</f>
        <v>Apr</v>
      </c>
      <c r="C18" s="1" t="s">
        <v>12</v>
      </c>
      <c r="D18" s="1" t="s">
        <v>10</v>
      </c>
      <c r="E18" s="1" t="s">
        <v>11</v>
      </c>
      <c r="F18" s="1">
        <v>7</v>
      </c>
      <c r="G18" s="1">
        <v>500</v>
      </c>
      <c r="H18" s="1">
        <v>3500</v>
      </c>
      <c r="I18" s="1">
        <v>350</v>
      </c>
      <c r="J18" s="1">
        <v>1050</v>
      </c>
    </row>
    <row r="19" spans="1:10" x14ac:dyDescent="0.25">
      <c r="A19" s="18">
        <v>45835</v>
      </c>
      <c r="B19" s="18" t="str">
        <f>TEXT(Table1[[#This Row],[Date]], "mmm")</f>
        <v>Jun</v>
      </c>
      <c r="C19" s="1" t="s">
        <v>19</v>
      </c>
      <c r="D19" s="1" t="s">
        <v>15</v>
      </c>
      <c r="E19" s="1" t="s">
        <v>14</v>
      </c>
      <c r="F19" s="1">
        <v>10</v>
      </c>
      <c r="G19" s="1">
        <v>400</v>
      </c>
      <c r="H19" s="1">
        <v>4000</v>
      </c>
      <c r="I19" s="1">
        <v>300</v>
      </c>
      <c r="J19" s="1">
        <v>1000</v>
      </c>
    </row>
    <row r="20" spans="1:10" x14ac:dyDescent="0.25">
      <c r="A20" s="18">
        <v>45671</v>
      </c>
      <c r="B20" s="18" t="str">
        <f>TEXT(Table1[[#This Row],[Date]], "mmm")</f>
        <v>Jan</v>
      </c>
      <c r="C20" s="1" t="s">
        <v>17</v>
      </c>
      <c r="D20" s="1" t="s">
        <v>25</v>
      </c>
      <c r="E20" s="1" t="s">
        <v>11</v>
      </c>
      <c r="F20" s="1">
        <v>8</v>
      </c>
      <c r="G20" s="1">
        <v>500</v>
      </c>
      <c r="H20" s="1">
        <v>4000</v>
      </c>
      <c r="I20" s="1">
        <v>350</v>
      </c>
      <c r="J20" s="1">
        <v>1200</v>
      </c>
    </row>
    <row r="21" spans="1:10" x14ac:dyDescent="0.25">
      <c r="A21" s="18">
        <v>45691</v>
      </c>
      <c r="B21" s="18" t="str">
        <f>TEXT(Table1[[#This Row],[Date]], "mmm")</f>
        <v>Feb</v>
      </c>
      <c r="C21" s="1" t="s">
        <v>19</v>
      </c>
      <c r="D21" s="1" t="s">
        <v>20</v>
      </c>
      <c r="E21" s="1" t="s">
        <v>23</v>
      </c>
      <c r="F21" s="1">
        <v>6</v>
      </c>
      <c r="G21" s="1">
        <v>700</v>
      </c>
      <c r="H21" s="1">
        <v>4200</v>
      </c>
      <c r="I21" s="1">
        <v>550</v>
      </c>
      <c r="J21" s="1">
        <v>900</v>
      </c>
    </row>
    <row r="22" spans="1:10" x14ac:dyDescent="0.25">
      <c r="A22" s="18">
        <v>45748</v>
      </c>
      <c r="B22" s="18" t="str">
        <f>TEXT(Table1[[#This Row],[Date]], "mmm")</f>
        <v>Apr</v>
      </c>
      <c r="C22" s="1" t="s">
        <v>17</v>
      </c>
      <c r="D22" s="1" t="s">
        <v>18</v>
      </c>
      <c r="E22" s="1" t="s">
        <v>23</v>
      </c>
      <c r="F22" s="1">
        <v>8</v>
      </c>
      <c r="G22" s="1">
        <v>700</v>
      </c>
      <c r="H22" s="1">
        <v>5600</v>
      </c>
      <c r="I22" s="1">
        <v>550</v>
      </c>
      <c r="J22" s="1">
        <v>1200</v>
      </c>
    </row>
    <row r="23" spans="1:10" x14ac:dyDescent="0.25">
      <c r="A23" s="18">
        <v>45754</v>
      </c>
      <c r="B23" s="18" t="str">
        <f>TEXT(Table1[[#This Row],[Date]], "mmm")</f>
        <v>Apr</v>
      </c>
      <c r="C23" s="1" t="s">
        <v>12</v>
      </c>
      <c r="D23" s="1" t="s">
        <v>24</v>
      </c>
      <c r="E23" s="1" t="s">
        <v>14</v>
      </c>
      <c r="F23" s="1">
        <v>6</v>
      </c>
      <c r="G23" s="1">
        <v>400</v>
      </c>
      <c r="H23" s="1">
        <v>2400</v>
      </c>
      <c r="I23" s="1">
        <v>300</v>
      </c>
      <c r="J23" s="1">
        <v>600</v>
      </c>
    </row>
    <row r="24" spans="1:10" x14ac:dyDescent="0.25">
      <c r="A24" s="18">
        <v>45774</v>
      </c>
      <c r="B24" s="18" t="str">
        <f>TEXT(Table1[[#This Row],[Date]], "mmm")</f>
        <v>Apr</v>
      </c>
      <c r="C24" s="1" t="s">
        <v>12</v>
      </c>
      <c r="D24" s="1" t="s">
        <v>10</v>
      </c>
      <c r="E24" s="1" t="s">
        <v>14</v>
      </c>
      <c r="F24" s="1">
        <v>2</v>
      </c>
      <c r="G24" s="1">
        <v>400</v>
      </c>
      <c r="H24" s="1">
        <v>800</v>
      </c>
      <c r="I24" s="1">
        <v>300</v>
      </c>
      <c r="J24" s="1">
        <v>200</v>
      </c>
    </row>
    <row r="25" spans="1:10" x14ac:dyDescent="0.25">
      <c r="A25" s="18">
        <v>45778</v>
      </c>
      <c r="B25" s="18" t="str">
        <f>TEXT(Table1[[#This Row],[Date]], "mmm")</f>
        <v>May</v>
      </c>
      <c r="C25" s="1" t="s">
        <v>12</v>
      </c>
      <c r="D25" s="1" t="s">
        <v>13</v>
      </c>
      <c r="E25" s="1" t="s">
        <v>11</v>
      </c>
      <c r="F25" s="1">
        <v>10</v>
      </c>
      <c r="G25" s="1">
        <v>500</v>
      </c>
      <c r="H25" s="1">
        <v>5000</v>
      </c>
      <c r="I25" s="1">
        <v>350</v>
      </c>
      <c r="J25" s="1">
        <v>1500</v>
      </c>
    </row>
    <row r="26" spans="1:10" x14ac:dyDescent="0.25">
      <c r="A26" s="18">
        <v>45803</v>
      </c>
      <c r="B26" s="18" t="str">
        <f>TEXT(Table1[[#This Row],[Date]], "mmm")</f>
        <v>May</v>
      </c>
      <c r="C26" s="1" t="s">
        <v>17</v>
      </c>
      <c r="D26" s="1" t="s">
        <v>20</v>
      </c>
      <c r="E26" s="1" t="s">
        <v>21</v>
      </c>
      <c r="F26" s="1">
        <v>4</v>
      </c>
      <c r="G26" s="1">
        <v>250</v>
      </c>
      <c r="H26" s="1">
        <v>1000</v>
      </c>
      <c r="I26" s="1">
        <v>180</v>
      </c>
      <c r="J26" s="1">
        <v>280</v>
      </c>
    </row>
    <row r="27" spans="1:10" x14ac:dyDescent="0.25">
      <c r="A27" s="18">
        <v>45697</v>
      </c>
      <c r="B27" s="18" t="str">
        <f>TEXT(Table1[[#This Row],[Date]], "mmm")</f>
        <v>Feb</v>
      </c>
      <c r="C27" s="1" t="s">
        <v>12</v>
      </c>
      <c r="D27" s="1" t="s">
        <v>24</v>
      </c>
      <c r="E27" s="1" t="s">
        <v>23</v>
      </c>
      <c r="F27" s="1">
        <v>3</v>
      </c>
      <c r="G27" s="1">
        <v>700</v>
      </c>
      <c r="H27" s="1">
        <v>2100</v>
      </c>
      <c r="I27" s="1">
        <v>550</v>
      </c>
      <c r="J27" s="1">
        <v>450</v>
      </c>
    </row>
    <row r="28" spans="1:10" x14ac:dyDescent="0.25">
      <c r="A28" s="18">
        <v>45766</v>
      </c>
      <c r="B28" s="18" t="str">
        <f>TEXT(Table1[[#This Row],[Date]], "mmm")</f>
        <v>Apr</v>
      </c>
      <c r="C28" s="1" t="s">
        <v>9</v>
      </c>
      <c r="D28" s="1" t="s">
        <v>24</v>
      </c>
      <c r="E28" s="1" t="s">
        <v>14</v>
      </c>
      <c r="F28" s="1">
        <v>6</v>
      </c>
      <c r="G28" s="1">
        <v>400</v>
      </c>
      <c r="H28" s="1">
        <v>2400</v>
      </c>
      <c r="I28" s="1">
        <v>300</v>
      </c>
      <c r="J28" s="1">
        <v>600</v>
      </c>
    </row>
    <row r="29" spans="1:10" x14ac:dyDescent="0.25">
      <c r="A29" s="18">
        <v>45723</v>
      </c>
      <c r="B29" s="18" t="str">
        <f>TEXT(Table1[[#This Row],[Date]], "mmm")</f>
        <v>Mar</v>
      </c>
      <c r="C29" s="1" t="s">
        <v>19</v>
      </c>
      <c r="D29" s="1" t="s">
        <v>15</v>
      </c>
      <c r="E29" s="1" t="s">
        <v>11</v>
      </c>
      <c r="F29" s="1">
        <v>8</v>
      </c>
      <c r="G29" s="1">
        <v>500</v>
      </c>
      <c r="H29" s="1">
        <v>4000</v>
      </c>
      <c r="I29" s="1">
        <v>350</v>
      </c>
      <c r="J29" s="1">
        <v>1200</v>
      </c>
    </row>
    <row r="30" spans="1:10" x14ac:dyDescent="0.25">
      <c r="A30" s="18">
        <v>45792</v>
      </c>
      <c r="B30" s="18" t="str">
        <f>TEXT(Table1[[#This Row],[Date]], "mmm")</f>
        <v>May</v>
      </c>
      <c r="C30" s="1" t="s">
        <v>12</v>
      </c>
      <c r="D30" s="1" t="s">
        <v>25</v>
      </c>
      <c r="E30" s="1" t="s">
        <v>23</v>
      </c>
      <c r="F30" s="1">
        <v>2</v>
      </c>
      <c r="G30" s="1">
        <v>700</v>
      </c>
      <c r="H30" s="1">
        <v>1400</v>
      </c>
      <c r="I30" s="1">
        <v>550</v>
      </c>
      <c r="J30" s="1">
        <v>300</v>
      </c>
    </row>
    <row r="31" spans="1:10" x14ac:dyDescent="0.25">
      <c r="A31" s="18">
        <v>45703</v>
      </c>
      <c r="B31" s="18" t="str">
        <f>TEXT(Table1[[#This Row],[Date]], "mmm")</f>
        <v>Feb</v>
      </c>
      <c r="C31" s="1" t="s">
        <v>12</v>
      </c>
      <c r="D31" s="1" t="s">
        <v>20</v>
      </c>
      <c r="E31" s="1" t="s">
        <v>21</v>
      </c>
      <c r="F31" s="1">
        <v>7</v>
      </c>
      <c r="G31" s="1">
        <v>250</v>
      </c>
      <c r="H31" s="1">
        <v>1750</v>
      </c>
      <c r="I31" s="1">
        <v>180</v>
      </c>
      <c r="J31" s="1">
        <v>490</v>
      </c>
    </row>
    <row r="32" spans="1:10" x14ac:dyDescent="0.25">
      <c r="A32" s="18">
        <v>45691</v>
      </c>
      <c r="B32" s="18" t="str">
        <f>TEXT(Table1[[#This Row],[Date]], "mmm")</f>
        <v>Feb</v>
      </c>
      <c r="C32" s="1" t="s">
        <v>19</v>
      </c>
      <c r="D32" s="1" t="s">
        <v>24</v>
      </c>
      <c r="E32" s="1" t="s">
        <v>11</v>
      </c>
      <c r="F32" s="1">
        <v>2</v>
      </c>
      <c r="G32" s="1">
        <v>500</v>
      </c>
      <c r="H32" s="1">
        <v>1000</v>
      </c>
      <c r="I32" s="1">
        <v>350</v>
      </c>
      <c r="J32" s="1">
        <v>300</v>
      </c>
    </row>
    <row r="33" spans="1:10" x14ac:dyDescent="0.25">
      <c r="A33" s="18">
        <v>45675</v>
      </c>
      <c r="B33" s="18" t="str">
        <f>TEXT(Table1[[#This Row],[Date]], "mmm")</f>
        <v>Jan</v>
      </c>
      <c r="C33" s="1" t="s">
        <v>9</v>
      </c>
      <c r="D33" s="1" t="s">
        <v>13</v>
      </c>
      <c r="E33" s="1" t="s">
        <v>21</v>
      </c>
      <c r="F33" s="1">
        <v>9</v>
      </c>
      <c r="G33" s="1">
        <v>250</v>
      </c>
      <c r="H33" s="1">
        <v>2250</v>
      </c>
      <c r="I33" s="1">
        <v>180</v>
      </c>
      <c r="J33" s="1">
        <v>630</v>
      </c>
    </row>
    <row r="34" spans="1:10" x14ac:dyDescent="0.25">
      <c r="A34" s="18">
        <v>45723</v>
      </c>
      <c r="B34" s="18" t="str">
        <f>TEXT(Table1[[#This Row],[Date]], "mmm")</f>
        <v>Mar</v>
      </c>
      <c r="C34" s="1" t="s">
        <v>19</v>
      </c>
      <c r="D34" s="1" t="s">
        <v>10</v>
      </c>
      <c r="E34" s="1" t="s">
        <v>14</v>
      </c>
      <c r="F34" s="1">
        <v>9</v>
      </c>
      <c r="G34" s="1">
        <v>400</v>
      </c>
      <c r="H34" s="1">
        <v>3600</v>
      </c>
      <c r="I34" s="1">
        <v>300</v>
      </c>
      <c r="J34" s="1">
        <v>900</v>
      </c>
    </row>
    <row r="35" spans="1:10" x14ac:dyDescent="0.25">
      <c r="A35" s="18">
        <v>45711</v>
      </c>
      <c r="B35" s="18" t="str">
        <f>TEXT(Table1[[#This Row],[Date]], "mmm")</f>
        <v>Feb</v>
      </c>
      <c r="C35" s="1" t="s">
        <v>12</v>
      </c>
      <c r="D35" s="1" t="s">
        <v>22</v>
      </c>
      <c r="E35" s="1" t="s">
        <v>21</v>
      </c>
      <c r="F35" s="1">
        <v>7</v>
      </c>
      <c r="G35" s="1">
        <v>250</v>
      </c>
      <c r="H35" s="1">
        <v>1750</v>
      </c>
      <c r="I35" s="1">
        <v>180</v>
      </c>
      <c r="J35" s="1">
        <v>490</v>
      </c>
    </row>
    <row r="36" spans="1:10" x14ac:dyDescent="0.25">
      <c r="A36" s="18">
        <v>45736</v>
      </c>
      <c r="B36" s="18" t="str">
        <f>TEXT(Table1[[#This Row],[Date]], "mmm")</f>
        <v>Mar</v>
      </c>
      <c r="C36" s="1" t="s">
        <v>17</v>
      </c>
      <c r="D36" s="1" t="s">
        <v>24</v>
      </c>
      <c r="E36" s="1" t="s">
        <v>21</v>
      </c>
      <c r="F36" s="1">
        <v>7</v>
      </c>
      <c r="G36" s="1">
        <v>250</v>
      </c>
      <c r="H36" s="1">
        <v>1750</v>
      </c>
      <c r="I36" s="1">
        <v>180</v>
      </c>
      <c r="J36" s="1">
        <v>490</v>
      </c>
    </row>
    <row r="37" spans="1:10" x14ac:dyDescent="0.25">
      <c r="A37" s="18">
        <v>45681</v>
      </c>
      <c r="B37" s="18" t="str">
        <f>TEXT(Table1[[#This Row],[Date]], "mmm")</f>
        <v>Jan</v>
      </c>
      <c r="C37" s="1" t="s">
        <v>12</v>
      </c>
      <c r="D37" s="1" t="s">
        <v>25</v>
      </c>
      <c r="E37" s="1" t="s">
        <v>11</v>
      </c>
      <c r="F37" s="1">
        <v>7</v>
      </c>
      <c r="G37" s="1">
        <v>500</v>
      </c>
      <c r="H37" s="1">
        <v>3500</v>
      </c>
      <c r="I37" s="1">
        <v>350</v>
      </c>
      <c r="J37" s="1">
        <v>1050</v>
      </c>
    </row>
    <row r="38" spans="1:10" x14ac:dyDescent="0.25">
      <c r="A38" s="18">
        <v>45778</v>
      </c>
      <c r="B38" s="18" t="str">
        <f>TEXT(Table1[[#This Row],[Date]], "mmm")</f>
        <v>May</v>
      </c>
      <c r="C38" s="1" t="s">
        <v>12</v>
      </c>
      <c r="D38" s="1" t="s">
        <v>24</v>
      </c>
      <c r="E38" s="1" t="s">
        <v>23</v>
      </c>
      <c r="F38" s="1">
        <v>4</v>
      </c>
      <c r="G38" s="1">
        <v>700</v>
      </c>
      <c r="H38" s="1">
        <v>2800</v>
      </c>
      <c r="I38" s="1">
        <v>550</v>
      </c>
      <c r="J38" s="1">
        <v>600</v>
      </c>
    </row>
    <row r="39" spans="1:10" x14ac:dyDescent="0.25">
      <c r="A39" s="18">
        <v>45741</v>
      </c>
      <c r="B39" s="18" t="str">
        <f>TEXT(Table1[[#This Row],[Date]], "mmm")</f>
        <v>Mar</v>
      </c>
      <c r="C39" s="1" t="s">
        <v>9</v>
      </c>
      <c r="D39" s="1" t="s">
        <v>18</v>
      </c>
      <c r="E39" s="1" t="s">
        <v>11</v>
      </c>
      <c r="F39" s="1">
        <v>2</v>
      </c>
      <c r="G39" s="1">
        <v>500</v>
      </c>
      <c r="H39" s="1">
        <v>1000</v>
      </c>
      <c r="I39" s="1">
        <v>350</v>
      </c>
      <c r="J39" s="1">
        <v>300</v>
      </c>
    </row>
    <row r="40" spans="1:10" x14ac:dyDescent="0.25">
      <c r="A40" s="18">
        <v>45717</v>
      </c>
      <c r="B40" s="18" t="str">
        <f>TEXT(Table1[[#This Row],[Date]], "mmm")</f>
        <v>Mar</v>
      </c>
      <c r="C40" s="1" t="s">
        <v>9</v>
      </c>
      <c r="D40" s="1" t="s">
        <v>13</v>
      </c>
      <c r="E40" s="1" t="s">
        <v>23</v>
      </c>
      <c r="F40" s="1">
        <v>4</v>
      </c>
      <c r="G40" s="1">
        <v>700</v>
      </c>
      <c r="H40" s="1">
        <v>2800</v>
      </c>
      <c r="I40" s="1">
        <v>550</v>
      </c>
      <c r="J40" s="1">
        <v>600</v>
      </c>
    </row>
    <row r="41" spans="1:10" x14ac:dyDescent="0.25">
      <c r="A41" s="18">
        <v>45702</v>
      </c>
      <c r="B41" s="18" t="str">
        <f>TEXT(Table1[[#This Row],[Date]], "mmm")</f>
        <v>Feb</v>
      </c>
      <c r="C41" s="1" t="s">
        <v>17</v>
      </c>
      <c r="D41" s="1" t="s">
        <v>10</v>
      </c>
      <c r="E41" s="1" t="s">
        <v>11</v>
      </c>
      <c r="F41" s="1">
        <v>9</v>
      </c>
      <c r="G41" s="1">
        <v>500</v>
      </c>
      <c r="H41" s="1">
        <v>4500</v>
      </c>
      <c r="I41" s="1">
        <v>350</v>
      </c>
      <c r="J41" s="1">
        <v>1350</v>
      </c>
    </row>
    <row r="42" spans="1:10" x14ac:dyDescent="0.25">
      <c r="A42" s="18">
        <v>45670</v>
      </c>
      <c r="B42" s="18" t="str">
        <f>TEXT(Table1[[#This Row],[Date]], "mmm")</f>
        <v>Jan</v>
      </c>
      <c r="C42" s="1" t="s">
        <v>19</v>
      </c>
      <c r="D42" s="1" t="s">
        <v>20</v>
      </c>
      <c r="E42" s="1" t="s">
        <v>16</v>
      </c>
      <c r="F42" s="1">
        <v>3</v>
      </c>
      <c r="G42" s="1">
        <v>120</v>
      </c>
      <c r="H42" s="1">
        <v>360</v>
      </c>
      <c r="I42" s="1">
        <v>80</v>
      </c>
      <c r="J42" s="1">
        <v>120</v>
      </c>
    </row>
    <row r="43" spans="1:10" x14ac:dyDescent="0.25">
      <c r="A43" s="18">
        <v>45683</v>
      </c>
      <c r="B43" s="18" t="str">
        <f>TEXT(Table1[[#This Row],[Date]], "mmm")</f>
        <v>Jan</v>
      </c>
      <c r="C43" s="1" t="s">
        <v>12</v>
      </c>
      <c r="D43" s="1" t="s">
        <v>15</v>
      </c>
      <c r="E43" s="1" t="s">
        <v>16</v>
      </c>
      <c r="F43" s="1">
        <v>8</v>
      </c>
      <c r="G43" s="1">
        <v>120</v>
      </c>
      <c r="H43" s="1">
        <v>960</v>
      </c>
      <c r="I43" s="1">
        <v>80</v>
      </c>
      <c r="J43" s="1">
        <v>320</v>
      </c>
    </row>
    <row r="44" spans="1:10" x14ac:dyDescent="0.25">
      <c r="A44" s="18">
        <v>45720</v>
      </c>
      <c r="B44" s="18" t="str">
        <f>TEXT(Table1[[#This Row],[Date]], "mmm")</f>
        <v>Mar</v>
      </c>
      <c r="C44" s="1" t="s">
        <v>17</v>
      </c>
      <c r="D44" s="1" t="s">
        <v>10</v>
      </c>
      <c r="E44" s="1" t="s">
        <v>14</v>
      </c>
      <c r="F44" s="1">
        <v>7</v>
      </c>
      <c r="G44" s="1">
        <v>400</v>
      </c>
      <c r="H44" s="1">
        <v>2800</v>
      </c>
      <c r="I44" s="1">
        <v>300</v>
      </c>
      <c r="J44" s="1">
        <v>700</v>
      </c>
    </row>
    <row r="45" spans="1:10" x14ac:dyDescent="0.25">
      <c r="A45" s="18">
        <v>45739</v>
      </c>
      <c r="B45" s="18" t="str">
        <f>TEXT(Table1[[#This Row],[Date]], "mmm")</f>
        <v>Mar</v>
      </c>
      <c r="C45" s="1" t="s">
        <v>9</v>
      </c>
      <c r="D45" s="1" t="s">
        <v>25</v>
      </c>
      <c r="E45" s="1" t="s">
        <v>21</v>
      </c>
      <c r="F45" s="1">
        <v>4</v>
      </c>
      <c r="G45" s="1">
        <v>250</v>
      </c>
      <c r="H45" s="1">
        <v>1000</v>
      </c>
      <c r="I45" s="1">
        <v>180</v>
      </c>
      <c r="J45" s="1">
        <v>280</v>
      </c>
    </row>
    <row r="46" spans="1:10" x14ac:dyDescent="0.25">
      <c r="A46" s="18">
        <v>45792</v>
      </c>
      <c r="B46" s="18" t="str">
        <f>TEXT(Table1[[#This Row],[Date]], "mmm")</f>
        <v>May</v>
      </c>
      <c r="C46" s="1" t="s">
        <v>19</v>
      </c>
      <c r="D46" s="1" t="s">
        <v>22</v>
      </c>
      <c r="E46" s="1" t="s">
        <v>11</v>
      </c>
      <c r="F46" s="1">
        <v>3</v>
      </c>
      <c r="G46" s="1">
        <v>500</v>
      </c>
      <c r="H46" s="1">
        <v>1500</v>
      </c>
      <c r="I46" s="1">
        <v>350</v>
      </c>
      <c r="J46" s="1">
        <v>450</v>
      </c>
    </row>
    <row r="47" spans="1:10" x14ac:dyDescent="0.25">
      <c r="A47" s="18">
        <v>45732</v>
      </c>
      <c r="B47" s="18" t="str">
        <f>TEXT(Table1[[#This Row],[Date]], "mmm")</f>
        <v>Mar</v>
      </c>
      <c r="C47" s="1" t="s">
        <v>9</v>
      </c>
      <c r="D47" s="1" t="s">
        <v>10</v>
      </c>
      <c r="E47" s="1" t="s">
        <v>16</v>
      </c>
      <c r="F47" s="1">
        <v>10</v>
      </c>
      <c r="G47" s="1">
        <v>120</v>
      </c>
      <c r="H47" s="1">
        <v>1200</v>
      </c>
      <c r="I47" s="1">
        <v>80</v>
      </c>
      <c r="J47" s="1">
        <v>400</v>
      </c>
    </row>
    <row r="48" spans="1:10" x14ac:dyDescent="0.25">
      <c r="A48" s="18">
        <v>45686</v>
      </c>
      <c r="B48" s="18" t="str">
        <f>TEXT(Table1[[#This Row],[Date]], "mmm")</f>
        <v>Jan</v>
      </c>
      <c r="C48" s="1" t="s">
        <v>19</v>
      </c>
      <c r="D48" s="1" t="s">
        <v>13</v>
      </c>
      <c r="E48" s="1" t="s">
        <v>21</v>
      </c>
      <c r="F48" s="1">
        <v>5</v>
      </c>
      <c r="G48" s="1">
        <v>250</v>
      </c>
      <c r="H48" s="1">
        <v>1250</v>
      </c>
      <c r="I48" s="1">
        <v>180</v>
      </c>
      <c r="J48" s="1">
        <v>350</v>
      </c>
    </row>
    <row r="49" spans="1:10" x14ac:dyDescent="0.25">
      <c r="A49" s="18">
        <v>45823</v>
      </c>
      <c r="B49" s="18" t="str">
        <f>TEXT(Table1[[#This Row],[Date]], "mmm")</f>
        <v>Jun</v>
      </c>
      <c r="C49" s="1" t="s">
        <v>19</v>
      </c>
      <c r="D49" s="1" t="s">
        <v>22</v>
      </c>
      <c r="E49" s="1" t="s">
        <v>23</v>
      </c>
      <c r="F49" s="1">
        <v>6</v>
      </c>
      <c r="G49" s="1">
        <v>700</v>
      </c>
      <c r="H49" s="1">
        <v>4200</v>
      </c>
      <c r="I49" s="1">
        <v>550</v>
      </c>
      <c r="J49" s="1">
        <v>900</v>
      </c>
    </row>
    <row r="50" spans="1:10" x14ac:dyDescent="0.25">
      <c r="A50" s="18">
        <v>45706</v>
      </c>
      <c r="B50" s="18" t="str">
        <f>TEXT(Table1[[#This Row],[Date]], "mmm")</f>
        <v>Feb</v>
      </c>
      <c r="C50" s="1" t="s">
        <v>17</v>
      </c>
      <c r="D50" s="1" t="s">
        <v>13</v>
      </c>
      <c r="E50" s="1" t="s">
        <v>23</v>
      </c>
      <c r="F50" s="1">
        <v>8</v>
      </c>
      <c r="G50" s="1">
        <v>700</v>
      </c>
      <c r="H50" s="1">
        <v>5600</v>
      </c>
      <c r="I50" s="1">
        <v>550</v>
      </c>
      <c r="J50" s="1">
        <v>1200</v>
      </c>
    </row>
    <row r="51" spans="1:10" x14ac:dyDescent="0.25">
      <c r="A51" s="18">
        <v>45795</v>
      </c>
      <c r="B51" s="18" t="str">
        <f>TEXT(Table1[[#This Row],[Date]], "mmm")</f>
        <v>May</v>
      </c>
      <c r="C51" s="1" t="s">
        <v>9</v>
      </c>
      <c r="D51" s="1" t="s">
        <v>25</v>
      </c>
      <c r="E51" s="1" t="s">
        <v>21</v>
      </c>
      <c r="F51" s="1">
        <v>2</v>
      </c>
      <c r="G51" s="1">
        <v>250</v>
      </c>
      <c r="H51" s="1">
        <v>500</v>
      </c>
      <c r="I51" s="1">
        <v>180</v>
      </c>
      <c r="J51" s="1">
        <v>140</v>
      </c>
    </row>
  </sheetData>
  <sheetProtection algorithmName="SHA-512" hashValue="dYtYHVzvNfLg3FdJtBf9Tb+cvXZhQaxbzATlIW+g5iySbXNeS9XQE4akgWvjgpAM050LfGEe7MAbU8i/nq/3wQ==" saltValue="EfxAWIGG1jVKAEP7Mo33LA==" spinCount="100000" sheet="1" objects="1" scenarios="1" selectLockedCells="1" selectUnlockedCells="1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3" zoomScale="120" zoomScaleNormal="120" workbookViewId="0">
      <selection activeCell="J20" sqref="J20"/>
    </sheetView>
  </sheetViews>
  <sheetFormatPr defaultRowHeight="15" x14ac:dyDescent="0.25"/>
  <cols>
    <col min="1" max="1" width="16.7109375" bestFit="1" customWidth="1"/>
    <col min="2" max="2" width="10" customWidth="1"/>
    <col min="3" max="3" width="16" bestFit="1" customWidth="1"/>
    <col min="4" max="4" width="13.140625" bestFit="1" customWidth="1"/>
    <col min="5" max="5" width="17.28515625" customWidth="1"/>
    <col min="7" max="7" width="16.28515625" bestFit="1" customWidth="1"/>
    <col min="8" max="8" width="17.28515625" customWidth="1"/>
    <col min="9" max="9" width="12.5703125" customWidth="1"/>
  </cols>
  <sheetData>
    <row r="1" spans="1:9" ht="15.75" x14ac:dyDescent="0.25">
      <c r="A1" s="67" t="s">
        <v>34</v>
      </c>
      <c r="B1" s="69"/>
      <c r="D1" s="70" t="s">
        <v>35</v>
      </c>
      <c r="E1" s="71"/>
      <c r="G1" s="70" t="s">
        <v>39</v>
      </c>
      <c r="H1" s="71"/>
    </row>
    <row r="2" spans="1:9" ht="15.75" x14ac:dyDescent="0.25">
      <c r="A2" s="12" t="s">
        <v>26</v>
      </c>
      <c r="B2" s="13" t="s">
        <v>32</v>
      </c>
      <c r="D2" s="6" t="s">
        <v>37</v>
      </c>
      <c r="E2" s="7" t="s">
        <v>31</v>
      </c>
      <c r="F2" s="21"/>
      <c r="G2" s="6" t="s">
        <v>48</v>
      </c>
      <c r="H2" s="7" t="s">
        <v>33</v>
      </c>
    </row>
    <row r="3" spans="1:9" x14ac:dyDescent="0.25">
      <c r="A3" s="14" t="s">
        <v>33</v>
      </c>
      <c r="B3" s="15">
        <f>SUM(Table1[Total Sales])</f>
        <v>119040</v>
      </c>
      <c r="D3" s="10" t="s">
        <v>12</v>
      </c>
      <c r="E3" s="11">
        <v>8120</v>
      </c>
      <c r="G3" s="19" t="s">
        <v>42</v>
      </c>
      <c r="H3" s="20">
        <v>14320</v>
      </c>
    </row>
    <row r="4" spans="1:9" x14ac:dyDescent="0.25">
      <c r="A4" s="14" t="s">
        <v>8</v>
      </c>
      <c r="B4" s="15">
        <f>SUM(Table1[Profit])</f>
        <v>31370</v>
      </c>
      <c r="D4" s="10" t="s">
        <v>17</v>
      </c>
      <c r="E4" s="11">
        <v>10560</v>
      </c>
      <c r="G4" s="19" t="s">
        <v>43</v>
      </c>
      <c r="H4" s="20">
        <v>37380</v>
      </c>
    </row>
    <row r="5" spans="1:9" x14ac:dyDescent="0.25">
      <c r="A5" s="16" t="s">
        <v>4</v>
      </c>
      <c r="B5" s="17">
        <f>SUM(Table1[Unit Price])</f>
        <v>21050</v>
      </c>
      <c r="D5" s="10" t="s">
        <v>9</v>
      </c>
      <c r="E5" s="11">
        <v>5470</v>
      </c>
      <c r="G5" s="19" t="s">
        <v>44</v>
      </c>
      <c r="H5" s="20">
        <v>24140</v>
      </c>
    </row>
    <row r="6" spans="1:9" x14ac:dyDescent="0.25">
      <c r="D6" s="10" t="s">
        <v>19</v>
      </c>
      <c r="E6" s="11">
        <v>7220</v>
      </c>
      <c r="G6" s="19" t="s">
        <v>45</v>
      </c>
      <c r="H6" s="20">
        <v>14700</v>
      </c>
    </row>
    <row r="7" spans="1:9" ht="15.75" x14ac:dyDescent="0.25">
      <c r="A7" s="70" t="s">
        <v>30</v>
      </c>
      <c r="B7" s="71"/>
      <c r="D7" s="8" t="s">
        <v>27</v>
      </c>
      <c r="E7" s="9">
        <v>31370</v>
      </c>
      <c r="G7" s="19" t="s">
        <v>46</v>
      </c>
      <c r="H7" s="20">
        <v>18200</v>
      </c>
    </row>
    <row r="8" spans="1:9" x14ac:dyDescent="0.25">
      <c r="A8" s="30" t="s">
        <v>28</v>
      </c>
      <c r="B8" s="30" t="s">
        <v>29</v>
      </c>
      <c r="G8" s="19" t="s">
        <v>47</v>
      </c>
      <c r="H8" s="20">
        <v>10300</v>
      </c>
    </row>
    <row r="9" spans="1:9" ht="15.75" x14ac:dyDescent="0.25">
      <c r="A9" s="26" t="s">
        <v>10</v>
      </c>
      <c r="B9" s="34">
        <v>19700</v>
      </c>
      <c r="D9" s="67" t="s">
        <v>36</v>
      </c>
      <c r="E9" s="69"/>
      <c r="G9" s="8" t="s">
        <v>27</v>
      </c>
      <c r="H9" s="9">
        <v>119040</v>
      </c>
    </row>
    <row r="10" spans="1:9" x14ac:dyDescent="0.25">
      <c r="A10" s="27" t="s">
        <v>24</v>
      </c>
      <c r="B10" s="35">
        <v>19450</v>
      </c>
      <c r="D10" s="6" t="s">
        <v>38</v>
      </c>
      <c r="E10" s="7" t="s">
        <v>33</v>
      </c>
      <c r="G10" s="4"/>
      <c r="H10" s="5"/>
    </row>
    <row r="11" spans="1:9" ht="15.75" x14ac:dyDescent="0.25">
      <c r="A11" s="27" t="s">
        <v>13</v>
      </c>
      <c r="B11" s="35">
        <v>17400</v>
      </c>
      <c r="D11" s="10" t="s">
        <v>16</v>
      </c>
      <c r="E11" s="11">
        <v>4440</v>
      </c>
      <c r="G11" s="67" t="s">
        <v>54</v>
      </c>
      <c r="H11" s="68"/>
      <c r="I11" s="69"/>
    </row>
    <row r="12" spans="1:9" x14ac:dyDescent="0.25">
      <c r="A12" s="27" t="s">
        <v>20</v>
      </c>
      <c r="B12" s="35">
        <v>13610</v>
      </c>
      <c r="D12" s="10" t="s">
        <v>23</v>
      </c>
      <c r="E12" s="11">
        <v>34300</v>
      </c>
      <c r="G12" s="30" t="s">
        <v>2</v>
      </c>
      <c r="H12" s="31" t="s">
        <v>41</v>
      </c>
      <c r="I12" s="32" t="s">
        <v>50</v>
      </c>
    </row>
    <row r="13" spans="1:9" x14ac:dyDescent="0.25">
      <c r="A13" s="27" t="s">
        <v>22</v>
      </c>
      <c r="B13" s="35">
        <v>13050</v>
      </c>
      <c r="D13" s="10" t="s">
        <v>14</v>
      </c>
      <c r="E13" s="11">
        <v>24800</v>
      </c>
      <c r="G13" s="26" t="s">
        <v>10</v>
      </c>
      <c r="H13" s="22">
        <v>19700</v>
      </c>
      <c r="I13" s="23">
        <v>5550</v>
      </c>
    </row>
    <row r="14" spans="1:9" x14ac:dyDescent="0.25">
      <c r="A14" s="27" t="s">
        <v>15</v>
      </c>
      <c r="B14" s="35">
        <v>12840</v>
      </c>
      <c r="D14" s="10" t="s">
        <v>21</v>
      </c>
      <c r="E14" s="11">
        <v>15500</v>
      </c>
      <c r="G14" s="27" t="s">
        <v>24</v>
      </c>
      <c r="H14" s="24">
        <v>19450</v>
      </c>
      <c r="I14" s="11">
        <v>5100</v>
      </c>
    </row>
    <row r="15" spans="1:9" x14ac:dyDescent="0.25">
      <c r="A15" s="27" t="s">
        <v>18</v>
      </c>
      <c r="B15" s="35">
        <v>12590</v>
      </c>
      <c r="D15" s="10" t="s">
        <v>11</v>
      </c>
      <c r="E15" s="11">
        <v>40000</v>
      </c>
      <c r="G15" s="27" t="s">
        <v>13</v>
      </c>
      <c r="H15" s="24">
        <v>17400</v>
      </c>
      <c r="I15" s="11">
        <v>4430</v>
      </c>
    </row>
    <row r="16" spans="1:9" x14ac:dyDescent="0.25">
      <c r="A16" s="28" t="s">
        <v>25</v>
      </c>
      <c r="B16" s="35">
        <v>10400</v>
      </c>
      <c r="D16" s="8" t="s">
        <v>27</v>
      </c>
      <c r="E16" s="9">
        <v>119040</v>
      </c>
      <c r="G16" s="27" t="s">
        <v>20</v>
      </c>
      <c r="H16" s="24">
        <v>13610</v>
      </c>
      <c r="I16" s="11">
        <v>3540</v>
      </c>
    </row>
    <row r="17" spans="1:9" x14ac:dyDescent="0.25">
      <c r="A17" s="29" t="s">
        <v>27</v>
      </c>
      <c r="B17" s="33">
        <v>119040</v>
      </c>
      <c r="G17" s="27" t="s">
        <v>22</v>
      </c>
      <c r="H17" s="24">
        <v>13050</v>
      </c>
      <c r="I17" s="11">
        <v>3040</v>
      </c>
    </row>
    <row r="18" spans="1:9" x14ac:dyDescent="0.25">
      <c r="G18" s="27" t="s">
        <v>15</v>
      </c>
      <c r="H18" s="24">
        <v>12840</v>
      </c>
      <c r="I18" s="11">
        <v>3580</v>
      </c>
    </row>
    <row r="19" spans="1:9" x14ac:dyDescent="0.25">
      <c r="G19" s="27" t="s">
        <v>18</v>
      </c>
      <c r="H19" s="24">
        <v>12590</v>
      </c>
      <c r="I19" s="11">
        <v>3160</v>
      </c>
    </row>
    <row r="20" spans="1:9" x14ac:dyDescent="0.25">
      <c r="G20" s="28" t="s">
        <v>25</v>
      </c>
      <c r="H20" s="24">
        <v>10400</v>
      </c>
      <c r="I20" s="11">
        <v>2970</v>
      </c>
    </row>
    <row r="21" spans="1:9" x14ac:dyDescent="0.25">
      <c r="G21" s="29" t="s">
        <v>27</v>
      </c>
      <c r="H21" s="25">
        <v>119040</v>
      </c>
      <c r="I21" s="9">
        <v>31370</v>
      </c>
    </row>
    <row r="30" spans="1:9" x14ac:dyDescent="0.25">
      <c r="G30" s="4"/>
      <c r="H30" s="5"/>
    </row>
    <row r="31" spans="1:9" x14ac:dyDescent="0.25">
      <c r="G31" s="4"/>
      <c r="H31" s="5"/>
    </row>
    <row r="32" spans="1:9" x14ac:dyDescent="0.25">
      <c r="G32" s="4"/>
      <c r="H32" s="5"/>
    </row>
    <row r="33" spans="7:8" x14ac:dyDescent="0.25">
      <c r="G33" s="4"/>
      <c r="H33" s="5"/>
    </row>
    <row r="34" spans="7:8" x14ac:dyDescent="0.25">
      <c r="G34" s="4"/>
      <c r="H34" s="5"/>
    </row>
    <row r="35" spans="7:8" x14ac:dyDescent="0.25">
      <c r="G35" s="4"/>
      <c r="H35" s="5"/>
    </row>
    <row r="36" spans="7:8" x14ac:dyDescent="0.25">
      <c r="G36" s="4"/>
      <c r="H36" s="5"/>
    </row>
    <row r="37" spans="7:8" x14ac:dyDescent="0.25">
      <c r="G37" s="4"/>
      <c r="H37" s="5"/>
    </row>
    <row r="38" spans="7:8" x14ac:dyDescent="0.25">
      <c r="G38" s="4"/>
      <c r="H38" s="5"/>
    </row>
    <row r="39" spans="7:8" x14ac:dyDescent="0.25">
      <c r="G39" s="4"/>
      <c r="H39" s="5"/>
    </row>
    <row r="40" spans="7:8" x14ac:dyDescent="0.25">
      <c r="G40" s="4"/>
      <c r="H40" s="5"/>
    </row>
    <row r="41" spans="7:8" x14ac:dyDescent="0.25">
      <c r="G41" s="4"/>
      <c r="H41" s="5"/>
    </row>
    <row r="42" spans="7:8" x14ac:dyDescent="0.25">
      <c r="G42" s="4"/>
      <c r="H42" s="5"/>
    </row>
    <row r="43" spans="7:8" x14ac:dyDescent="0.25">
      <c r="G43" s="4"/>
      <c r="H43" s="5"/>
    </row>
    <row r="44" spans="7:8" x14ac:dyDescent="0.25">
      <c r="G44" s="4"/>
      <c r="H44" s="5"/>
    </row>
    <row r="45" spans="7:8" x14ac:dyDescent="0.25">
      <c r="G45" s="4"/>
      <c r="H45" s="5"/>
    </row>
    <row r="46" spans="7:8" x14ac:dyDescent="0.25">
      <c r="G46" s="4"/>
      <c r="H46" s="5"/>
    </row>
    <row r="47" spans="7:8" x14ac:dyDescent="0.25">
      <c r="G47" s="4"/>
      <c r="H47" s="5"/>
    </row>
  </sheetData>
  <sheetProtection algorithmName="SHA-512" hashValue="Yk4t0UG8BBdk/WBIK7+Cbxse7x28WGXH4VtxxtCwYFiivLDrVIUzmhvnseITJ87Koh3HFtvI/FKanwItEpbdqA==" saltValue="azqxohEzE8OGO1NjZosqNA==" spinCount="100000" sheet="1" objects="1" scenarios="1" selectLockedCells="1" selectUnlockedCells="1"/>
  <sortState ref="E1:E8">
    <sortCondition ref="E8"/>
  </sortState>
  <mergeCells count="6">
    <mergeCell ref="G11:I11"/>
    <mergeCell ref="A7:B7"/>
    <mergeCell ref="D1:E1"/>
    <mergeCell ref="A1:B1"/>
    <mergeCell ref="D9:E9"/>
    <mergeCell ref="G1:H1"/>
  </mergeCell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Dashboard</vt:lpstr>
      <vt:lpstr>User Data</vt:lpstr>
      <vt:lpstr>Functional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Acharya</dc:creator>
  <cp:lastModifiedBy>Anam Acharya</cp:lastModifiedBy>
  <dcterms:created xsi:type="dcterms:W3CDTF">2025-11-13T06:24:01Z</dcterms:created>
  <dcterms:modified xsi:type="dcterms:W3CDTF">2025-11-14T11:02:49Z</dcterms:modified>
</cp:coreProperties>
</file>